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Option Strategies" sheetId="1" r:id="rId5"/>
  </sheets>
  <definedNames/>
  <calcPr/>
</workbook>
</file>

<file path=xl/sharedStrings.xml><?xml version="1.0" encoding="utf-8"?>
<sst xmlns="http://schemas.openxmlformats.org/spreadsheetml/2006/main" count="278" uniqueCount="168">
  <si>
    <t>BASIC OPTION STRATEGIES — ALL-IN-ONE CALCULATOR &amp; COURSE TRACKER</t>
  </si>
  <si>
    <t>Select a strategy, enter the yellow assumptions, and review automatic breakevens, profit/loss, risk, payoff table, and chart.</t>
  </si>
  <si>
    <t>EDITABLE STRATEGY INPUTS</t>
  </si>
  <si>
    <t>AUTOMATIC STRATEGY RESULTS</t>
  </si>
  <si>
    <t>Strategy</t>
  </si>
  <si>
    <t>Short Strangle</t>
  </si>
  <si>
    <t>Choose one of the seven strategies</t>
  </si>
  <si>
    <t>Strategy Description</t>
  </si>
  <si>
    <t>Plain-language construction</t>
  </si>
  <si>
    <t>Underlying Symbol</t>
  </si>
  <si>
    <t>aapl</t>
  </si>
  <si>
    <t>User-editable ticker or symbol</t>
  </si>
  <si>
    <t>Position Construction</t>
  </si>
  <si>
    <t>Stock, call, and put legs</t>
  </si>
  <si>
    <t>Stock Price at Entry ($)</t>
  </si>
  <si>
    <t>Purchase price, current price, or short-sale price</t>
  </si>
  <si>
    <t>Market Outlook</t>
  </si>
  <si>
    <t>Expected price behavior</t>
  </si>
  <si>
    <t>Stock Price at Expiration ($)</t>
  </si>
  <si>
    <t>Change this to test one specific expiration result</t>
  </si>
  <si>
    <t>Initial Net Cash Flow ($)</t>
  </si>
  <si>
    <t>Positive = credit; negative = debit</t>
  </si>
  <si>
    <t>Call Strike Price ($)</t>
  </si>
  <si>
    <t>For a short straddle, enter the same strike as the put</t>
  </si>
  <si>
    <t>Lower / Single Breakeven ($)</t>
  </si>
  <si>
    <t>Primary lower or single breakeven</t>
  </si>
  <si>
    <t>Put Strike Price ($)</t>
  </si>
  <si>
    <t>For a short strangle, put strike must be below call strike</t>
  </si>
  <si>
    <t>Upper Breakeven ($)</t>
  </si>
  <si>
    <t>Second breakeven where applicable</t>
  </si>
  <si>
    <t>Call Premium ($/share)</t>
  </si>
  <si>
    <t>Paid when long; received when short</t>
  </si>
  <si>
    <t>Maximum Profit</t>
  </si>
  <si>
    <t>Maximum expiration profit</t>
  </si>
  <si>
    <t>Put Premium ($/share)</t>
  </si>
  <si>
    <t>Maximum Loss</t>
  </si>
  <si>
    <t>Maximum expiration risk</t>
  </si>
  <si>
    <t>Number of Option Contracts</t>
  </si>
  <si>
    <t>One contract normally represents 100 shares</t>
  </si>
  <si>
    <t>Call Intrinsic Value ($/share)</t>
  </si>
  <si>
    <t>MAX(stock − call strike, 0)</t>
  </si>
  <si>
    <t>Shares per Contract</t>
  </si>
  <si>
    <t>Standard U.S. equity-option multiplier</t>
  </si>
  <si>
    <t>Put Intrinsic Value ($/share)</t>
  </si>
  <si>
    <t>MAX(put strike − stock, 0)</t>
  </si>
  <si>
    <t>Stock Shares Owned / Short</t>
  </si>
  <si>
    <t>Used for covered call or covered put</t>
  </si>
  <si>
    <t>Stock-Leg Profit / Loss ($)</t>
  </si>
  <si>
    <t>Used for covered call and covered put</t>
  </si>
  <si>
    <t>Expiration Date</t>
  </si>
  <si>
    <t>Same expiration for all option legs</t>
  </si>
  <si>
    <t>Option-Leg Profit / Loss ($)</t>
  </si>
  <si>
    <t>All option legs combined</t>
  </si>
  <si>
    <t>Days to Expiration</t>
  </si>
  <si>
    <t>Calculated automatically</t>
  </si>
  <si>
    <t>Gross Profit / Loss ($)</t>
  </si>
  <si>
    <t>Before fees</t>
  </si>
  <si>
    <t>Fees &amp; Commissions ($)</t>
  </si>
  <si>
    <t>Total estimated strategy costs</t>
  </si>
  <si>
    <t>Net Profit / Loss ($)</t>
  </si>
  <si>
    <t>After fees</t>
  </si>
  <si>
    <t>Margin / Collateral ($)</t>
  </si>
  <si>
    <t>Used for short-option and covered-put return calculations</t>
  </si>
  <si>
    <t>Return on Capital (%)</t>
  </si>
  <si>
    <t>Uses debit, stock investment, or entered margin</t>
  </si>
  <si>
    <t>Implied Volatility Outlook</t>
  </si>
  <si>
    <t>Uncertain</t>
  </si>
  <si>
    <t>Long options prefer rising IV; short options prefer falling IV</t>
  </si>
  <si>
    <t>Profit Zone</t>
  </si>
  <si>
    <t>Where the strategy profits at expiration</t>
  </si>
  <si>
    <t>Scenario Low (% of Entry Price)</t>
  </si>
  <si>
    <t>Lowest price displayed in the payoff table</t>
  </si>
  <si>
    <t>Time Decay Effect</t>
  </si>
  <si>
    <t>Whether passage of time helps or hurts</t>
  </si>
  <si>
    <t>Scenario High (% of Entry Price)</t>
  </si>
  <si>
    <t>Highest price displayed in the payoff table</t>
  </si>
  <si>
    <t>Volatility Effect</t>
  </si>
  <si>
    <t>Whether rising or falling IV generally helps</t>
  </si>
  <si>
    <t>Scenario Intervals</t>
  </si>
  <si>
    <t>Choose 5–30 payoff intervals</t>
  </si>
  <si>
    <t>Setup Check</t>
  </si>
  <si>
    <t>Validates strikes and covered-share quantity</t>
  </si>
  <si>
    <t>SEVEN-STRATEGY REFERENCE</t>
  </si>
  <si>
    <t>Construction</t>
  </si>
  <si>
    <t>Time Decay</t>
  </si>
  <si>
    <t>Volatility</t>
  </si>
  <si>
    <t>Primary Risk</t>
  </si>
  <si>
    <t>Long Call</t>
  </si>
  <si>
    <t>Buy call</t>
  </si>
  <si>
    <t>Bullish</t>
  </si>
  <si>
    <t>Hurts</t>
  </si>
  <si>
    <t>Rising IV helps</t>
  </si>
  <si>
    <t>Unlimited</t>
  </si>
  <si>
    <t>Premium paid</t>
  </si>
  <si>
    <t>SELECTED STRATEGY — EXPIRATION PAYOFF TABLE</t>
  </si>
  <si>
    <t>Short Put</t>
  </si>
  <si>
    <t>Sell put</t>
  </si>
  <si>
    <t>Bullish / neutral</t>
  </si>
  <si>
    <t>Helps</t>
  </si>
  <si>
    <t>Falling IV helps</t>
  </si>
  <si>
    <t>Premium received</t>
  </si>
  <si>
    <t>Stock can fall to $0</t>
  </si>
  <si>
    <t>Stock at Expiration ($)</t>
  </si>
  <si>
    <t>Call Intrinsic ($/share)</t>
  </si>
  <si>
    <t>Put Intrinsic ($/share)</t>
  </si>
  <si>
    <t>Stock-Leg P/L ($)</t>
  </si>
  <si>
    <t>Option-Leg P/L ($)</t>
  </si>
  <si>
    <t>Gross P/L ($)</t>
  </si>
  <si>
    <t>Net P/L ($)</t>
  </si>
  <si>
    <t>Result</t>
  </si>
  <si>
    <t>Covered Call</t>
  </si>
  <si>
    <t>Long stock + sell call</t>
  </si>
  <si>
    <t>Mildly bullish / neutral</t>
  </si>
  <si>
    <t>Limited</t>
  </si>
  <si>
    <t>Stock downside</t>
  </si>
  <si>
    <t>Long Put</t>
  </si>
  <si>
    <t>Buy put</t>
  </si>
  <si>
    <t>Bearish</t>
  </si>
  <si>
    <t>Substantial; stock to $0</t>
  </si>
  <si>
    <t>Covered Put</t>
  </si>
  <si>
    <t>Short stock + sell put</t>
  </si>
  <si>
    <t>Mildly bearish / neutral</t>
  </si>
  <si>
    <t>Unlimited stock upside</t>
  </si>
  <si>
    <t>Short Straddle</t>
  </si>
  <si>
    <t>Sell same-strike call + put</t>
  </si>
  <si>
    <t>Neutral</t>
  </si>
  <si>
    <t>Combined premium</t>
  </si>
  <si>
    <t>Large move either direction</t>
  </si>
  <si>
    <t>Sell lower put + higher call</t>
  </si>
  <si>
    <t>Large move beyond breakevens</t>
  </si>
  <si>
    <t>COURSE PROGRESS — BASIC OPTION STRATEGIES</t>
  </si>
  <si>
    <t>Modules Listed</t>
  </si>
  <si>
    <t>Recorded Complete</t>
  </si>
  <si>
    <t>Minutes Listed</t>
  </si>
  <si>
    <t>Market Group</t>
  </si>
  <si>
    <t>Lesson / Module</t>
  </si>
  <si>
    <t>Type</t>
  </si>
  <si>
    <t>Minutes</t>
  </si>
  <si>
    <t>Grade</t>
  </si>
  <si>
    <t>Status</t>
  </si>
  <si>
    <t>Overview</t>
  </si>
  <si>
    <t>Basic Option Strategies - Overview</t>
  </si>
  <si>
    <t>Video</t>
  </si>
  <si>
    <t>HOW TO USE:
1. Select a strategy in B4.
2. Enter the stock, strikes, premiums, contracts, shares, fees, and margin.
3. For Short Straddle, make call and put strikes equal.
4. For Short Strangle, enter a lower put strike and higher call strike.
5. Review F22 before relying on the calculation.
6. Update course statuses as lessons are completed.</t>
  </si>
  <si>
    <t>Optional - Free Trial IBKR Trader Workstation Account</t>
  </si>
  <si>
    <t>Reading</t>
  </si>
  <si>
    <t>Bull Market</t>
  </si>
  <si>
    <t>Bull Market - Long Call</t>
  </si>
  <si>
    <t>Practice Assignment</t>
  </si>
  <si>
    <t>Completed</t>
  </si>
  <si>
    <t>Practical Usage - Bull Market - Long Call</t>
  </si>
  <si>
    <t>Bull Market - Short Put</t>
  </si>
  <si>
    <t>Practical Usage - Bull Market - Short Put</t>
  </si>
  <si>
    <t>Bull Market - Covered Call</t>
  </si>
  <si>
    <t>Practical Usage - Bull Market - Covered Call</t>
  </si>
  <si>
    <t>Bear Market</t>
  </si>
  <si>
    <t>Bear Market - Long Put</t>
  </si>
  <si>
    <t>Practical Usage - Bear Market - Long Put</t>
  </si>
  <si>
    <t>Bear Market - Covered Put</t>
  </si>
  <si>
    <t>Practical Usage - Bear Market - Covered Put</t>
  </si>
  <si>
    <t>Assessment</t>
  </si>
  <si>
    <t>Option Strategies - Graded Assessment</t>
  </si>
  <si>
    <t>Graded Assignment</t>
  </si>
  <si>
    <t>Neutral Market</t>
  </si>
  <si>
    <t>Neutral Market Strategies Overview</t>
  </si>
  <si>
    <t>Neutral Market - Short Straddle</t>
  </si>
  <si>
    <t>Practical Usage - Neutral Market - Short Straddle</t>
  </si>
  <si>
    <t>Neutral Market - Short Strangle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</si>
</sst>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;[Red]($#,##0.00);-"/>
    <numFmt numFmtId="165" formatCode="#,##0;[Red](#,##0);-"/>
    <numFmt numFmtId="166" formatCode="mm/dd/yyyy"/>
    <numFmt numFmtId="167" formatCode="0.0%;[Red](0.0%);-"/>
  </numFmts>
  <fonts count="9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9.0"/>
      <color rgb="FF666666"/>
      <name val="Carlito"/>
    </font>
    <font>
      <b/>
      <sz val="11.0"/>
      <color rgb="FFFFFFFF"/>
      <name val="Carlito"/>
    </font>
    <font>
      <b/>
      <sz val="11.0"/>
      <color rgb="FF000000"/>
      <name val="Carlito"/>
    </font>
    <font>
      <sz val="11.0"/>
      <color rgb="FF0000FF"/>
      <name val="Carlito"/>
    </font>
    <font>
      <sz val="11.0"/>
      <color rgb="FF000000"/>
      <name val="Carlito"/>
    </font>
    <font>
      <sz val="11.0"/>
      <color theme="1"/>
      <name val="Carlito"/>
    </font>
    <font>
      <b/>
      <i/>
      <sz val="10.0"/>
      <color rgb="FF555555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D9EAF7"/>
        <bgColor rgb="FFD9EAF7"/>
      </patternFill>
    </fill>
  </fills>
  <borders count="7">
    <border/>
    <border>
      <top/>
    </border>
    <border>
      <right/>
      <top/>
    </border>
    <border>
      <right/>
    </border>
    <border>
      <bottom/>
    </border>
    <border>
      <right/>
      <bottom/>
    </border>
    <border>
      <left/>
      <top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shrinkToFit="0" wrapText="1"/>
    </xf>
    <xf borderId="0" fillId="4" fontId="3" numFmtId="0" xfId="0" applyAlignment="1" applyFill="1" applyFont="1">
      <alignment horizontal="left" vertical="center"/>
    </xf>
    <xf borderId="0" fillId="0" fontId="4" numFmtId="0" xfId="0" applyAlignment="1" applyFont="1">
      <alignment shrinkToFit="0" vertical="center" wrapText="1"/>
    </xf>
    <xf borderId="1" fillId="5" fontId="5" numFmtId="0" xfId="0" applyAlignment="1" applyBorder="1" applyFill="1" applyFont="1">
      <alignment horizontal="right" readingOrder="0" shrinkToFit="0" wrapText="1"/>
    </xf>
    <xf borderId="2" fillId="3" fontId="2" numFmtId="0" xfId="0" applyAlignment="1" applyBorder="1" applyFont="1">
      <alignment shrinkToFit="0" wrapText="1"/>
    </xf>
    <xf borderId="0" fillId="0" fontId="6" numFmtId="0" xfId="0" applyAlignment="1" applyFont="1">
      <alignment horizontal="right" shrinkToFit="0" wrapText="1"/>
    </xf>
    <xf borderId="0" fillId="5" fontId="5" numFmtId="0" xfId="0" applyAlignment="1" applyFont="1">
      <alignment horizontal="right" readingOrder="0" shrinkToFit="0" wrapText="1"/>
    </xf>
    <xf borderId="3" fillId="3" fontId="2" numFmtId="0" xfId="0" applyAlignment="1" applyBorder="1" applyFont="1">
      <alignment shrinkToFit="0" wrapText="1"/>
    </xf>
    <xf borderId="0" fillId="5" fontId="5" numFmtId="164" xfId="0" applyAlignment="1" applyFont="1" applyNumberFormat="1">
      <alignment horizontal="right" readingOrder="0" shrinkToFit="0" wrapText="1"/>
    </xf>
    <xf borderId="0" fillId="6" fontId="4" numFmtId="164" xfId="0" applyAlignment="1" applyFill="1" applyFont="1" applyNumberFormat="1">
      <alignment horizontal="right" shrinkToFit="0" wrapText="1"/>
    </xf>
    <xf borderId="0" fillId="5" fontId="5" numFmtId="165" xfId="0" applyAlignment="1" applyFont="1" applyNumberFormat="1">
      <alignment horizontal="right" shrinkToFit="0" wrapText="1"/>
    </xf>
    <xf borderId="0" fillId="0" fontId="6" numFmtId="164" xfId="0" applyAlignment="1" applyFont="1" applyNumberFormat="1">
      <alignment horizontal="right" shrinkToFit="0" wrapText="1"/>
    </xf>
    <xf borderId="0" fillId="5" fontId="5" numFmtId="166" xfId="0" applyAlignment="1" applyFont="1" applyNumberFormat="1">
      <alignment horizontal="right" shrinkToFit="0" wrapText="1"/>
    </xf>
    <xf borderId="0" fillId="5" fontId="5" numFmtId="164" xfId="0" applyAlignment="1" applyFont="1" applyNumberFormat="1">
      <alignment horizontal="right" shrinkToFit="0" wrapText="1"/>
    </xf>
    <xf borderId="0" fillId="6" fontId="4" numFmtId="167" xfId="0" applyAlignment="1" applyFont="1" applyNumberFormat="1">
      <alignment horizontal="right" shrinkToFit="0" wrapText="1"/>
    </xf>
    <xf borderId="0" fillId="5" fontId="5" numFmtId="167" xfId="0" applyAlignment="1" applyFont="1" applyNumberFormat="1">
      <alignment horizontal="right" shrinkToFit="0" wrapText="1"/>
    </xf>
    <xf borderId="4" fillId="5" fontId="5" numFmtId="165" xfId="0" applyAlignment="1" applyBorder="1" applyFont="1" applyNumberFormat="1">
      <alignment horizontal="right" shrinkToFit="0" wrapText="1"/>
    </xf>
    <xf borderId="5" fillId="3" fontId="2" numFmtId="0" xfId="0" applyAlignment="1" applyBorder="1" applyFont="1">
      <alignment shrinkToFit="0" wrapText="1"/>
    </xf>
    <xf borderId="6" fillId="7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2" fillId="7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0" fillId="0" fontId="7" numFmtId="164" xfId="0" applyAlignment="1" applyFont="1" applyNumberFormat="1">
      <alignment shrinkToFit="0" wrapText="1"/>
    </xf>
    <xf borderId="0" fillId="7" fontId="4" numFmtId="0" xfId="0" applyAlignment="1" applyFont="1">
      <alignment horizontal="center" shrinkToFit="0" vertical="center" wrapText="1"/>
    </xf>
    <xf borderId="0" fillId="6" fontId="4" numFmtId="165" xfId="0" applyAlignment="1" applyFont="1" applyNumberFormat="1">
      <alignment horizontal="right" shrinkToFit="0" vertical="center" wrapText="1"/>
    </xf>
    <xf borderId="0" fillId="6" fontId="4" numFmtId="0" xfId="0" applyAlignment="1" applyFont="1">
      <alignment horizontal="right" shrinkToFit="0" vertical="center" wrapText="1"/>
    </xf>
    <xf borderId="0" fillId="6" fontId="4" numFmtId="167" xfId="0" applyAlignment="1" applyFont="1" applyNumberFormat="1">
      <alignment horizontal="right" shrinkToFit="0" vertical="center" wrapText="1"/>
    </xf>
    <xf borderId="0" fillId="0" fontId="4" numFmtId="0" xfId="0" applyAlignment="1" applyFont="1">
      <alignment vertical="center"/>
    </xf>
    <xf borderId="0" fillId="0" fontId="7" numFmtId="165" xfId="0" applyAlignment="1" applyFont="1" applyNumberFormat="1">
      <alignment shrinkToFit="0" wrapText="1"/>
    </xf>
    <xf borderId="0" fillId="0" fontId="7" numFmtId="167" xfId="0" applyAlignment="1" applyFont="1" applyNumberFormat="1">
      <alignment shrinkToFit="0" wrapText="1"/>
    </xf>
    <xf borderId="0" fillId="3" fontId="8" numFmtId="0" xfId="0" applyAlignment="1" applyFont="1">
      <alignment shrinkToFit="0" vertical="top" wrapText="1"/>
    </xf>
  </cellXfs>
  <cellStyles count="1">
    <cellStyle xfId="0" name="Normal" builtinId="0"/>
  </cellStyles>
  <dxfs count="6"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Net Profit / Loss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'All Option Strategies'!$A$27:$A$57</c:f>
            </c:strRef>
          </c:cat>
          <c:val>
            <c:numRef>
              <c:f>'All Option Strategies'!$G$27:$G$57</c:f>
              <c:numCache/>
            </c:numRef>
          </c:val>
          <c:smooth val="0"/>
        </c:ser>
        <c:axId val="1133291933"/>
        <c:axId val="1523001189"/>
      </c:lineChart>
      <c:catAx>
        <c:axId val="1133291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001189"/>
      </c:catAx>
      <c:valAx>
        <c:axId val="1523001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29193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12649200" cy="42862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7.0"/>
    <col customWidth="1" min="3" max="3" width="35.0"/>
    <col customWidth="1" min="4" max="4" width="19.63"/>
    <col customWidth="1" min="5" max="5" width="27.0"/>
    <col customWidth="1" min="6" max="6" width="34.63"/>
    <col customWidth="1" min="7" max="7" width="35.0"/>
    <col customWidth="1" min="8" max="8" width="16.0"/>
    <col customWidth="1" min="9" max="9" width="3.0"/>
    <col customWidth="1" min="10" max="10" width="23.0"/>
    <col customWidth="1" min="11" max="11" width="28.0"/>
    <col customWidth="1" min="12" max="16" width="23.0"/>
    <col customWidth="1" min="17" max="26" width="8.63"/>
  </cols>
  <sheetData>
    <row r="1" ht="30.0" customHeight="1">
      <c r="A1" s="1" t="s">
        <v>0</v>
      </c>
    </row>
    <row r="2" ht="25.5" customHeight="1">
      <c r="A2" s="2" t="s">
        <v>1</v>
      </c>
    </row>
    <row r="3" ht="18.75" customHeight="1">
      <c r="A3" s="3" t="s">
        <v>2</v>
      </c>
      <c r="E3" s="3" t="s">
        <v>3</v>
      </c>
    </row>
    <row r="4" ht="33.75" customHeight="1">
      <c r="A4" s="4" t="s">
        <v>4</v>
      </c>
      <c r="B4" s="5" t="s">
        <v>5</v>
      </c>
      <c r="C4" s="6" t="s">
        <v>6</v>
      </c>
      <c r="E4" s="4" t="s">
        <v>7</v>
      </c>
      <c r="F4" s="7" t="str">
        <f>IF($B$4="Long Call","Buy a call to benefit from a strong upward move.",IF($B$4="Short Put","Sell a put to collect premium while expecting the stock to remain above breakeven.",IF($B$4="Covered Call","Own shares and sell a call to generate income with limited upside.",IF($B$4="Long Put","Buy a put to benefit from a strong downward move or protect value.",IF($B$4="Covered Put","Short shares and sell a put to generate income with capped downside profit.",IF($B$4="Short Straddle","Sell a call and put at the same strike and expiration.",IF($B$4="Short Strangle","Sell a lower-strike put and a higher-strike call with the same expiration.","")))))))</f>
        <v>Sell a lower-strike put and a higher-strike call with the same expiration.</v>
      </c>
      <c r="G4" s="6" t="s">
        <v>8</v>
      </c>
    </row>
    <row r="5" ht="18.75" customHeight="1">
      <c r="A5" s="4" t="s">
        <v>9</v>
      </c>
      <c r="B5" s="8" t="s">
        <v>10</v>
      </c>
      <c r="C5" s="9" t="s">
        <v>11</v>
      </c>
      <c r="E5" s="4" t="s">
        <v>12</v>
      </c>
      <c r="F5" s="7" t="str">
        <f>IF($B$4="Long Call","Buy call",IF($B$4="Short Put","Sell put",IF($B$4="Covered Call","Long stock + sell call",IF($B$4="Long Put","Buy put",IF($B$4="Covered Put","Short stock + sell put",IF($B$4="Short Straddle","Sell call + sell put; same strike",IF($B$4="Short Strangle","Sell lower-strike put + higher-strike call","")))))))</f>
        <v>Sell lower-strike put + higher-strike call</v>
      </c>
      <c r="G5" s="9" t="s">
        <v>13</v>
      </c>
    </row>
    <row r="6" ht="18.75" customHeight="1">
      <c r="A6" s="4" t="s">
        <v>14</v>
      </c>
      <c r="B6" s="10">
        <v>194.0</v>
      </c>
      <c r="C6" s="9" t="s">
        <v>15</v>
      </c>
      <c r="E6" s="4" t="s">
        <v>16</v>
      </c>
      <c r="F6" s="7" t="str">
        <f>IF($B$4="Long Call","Bullish",IF($B$4="Short Put","Bullish to neutral",IF($B$4="Covered Call","Mildly bullish to neutral",IF($B$4="Long Put","Bearish",IF($B$4="Covered Put","Mildly bearish to neutral",IF($B$4="Short Straddle","Neutral; price stays near one strike",IF($B$4="Short Strangle","Neutral; price stays between two strikes","")))))))</f>
        <v>Neutral; price stays between two strikes</v>
      </c>
      <c r="G6" s="9" t="s">
        <v>17</v>
      </c>
    </row>
    <row r="7" ht="18.75" customHeight="1">
      <c r="A7" s="4" t="s">
        <v>18</v>
      </c>
      <c r="B7" s="10">
        <v>200.0</v>
      </c>
      <c r="C7" s="9" t="s">
        <v>19</v>
      </c>
      <c r="E7" s="4" t="s">
        <v>20</v>
      </c>
      <c r="F7" s="11">
        <f>IF($B$4="Long Call",-($B$10*$B$12*$B$13)-$B$17,IF($B$4="Short Put",($B$11*$B$12*$B$13)-$B$17,IF($B$4="Covered Call",-($B$6*$B$14)+($B$10*$B$12*$B$13)-$B$17,IF($B$4="Long Put",-($B$11*$B$12*$B$13)-$B$17,IF($B$4="Covered Put",($B$6*$B$14)+($B$11*$B$12*$B$13)-$B$17,IF($B$4="Short Straddle",(($B$10+$B$11)*$B$12*$B$13)-$B$17,IF($B$4="Short Strangle",(($B$10+$B$11)*$B$12*$B$13)-$B$17,0)))))))</f>
        <v>800</v>
      </c>
      <c r="G7" s="9" t="s">
        <v>21</v>
      </c>
    </row>
    <row r="8" ht="18.75" customHeight="1">
      <c r="A8" s="4" t="s">
        <v>22</v>
      </c>
      <c r="B8" s="10">
        <v>189.0</v>
      </c>
      <c r="C8" s="9" t="s">
        <v>23</v>
      </c>
      <c r="E8" s="4" t="s">
        <v>24</v>
      </c>
      <c r="F8" s="11">
        <f>IF($B$4="Long Call",$B$8+$B$10,IF($B$4="Short Put",$B$9-$B$11,IF($B$4="Covered Call",$B$6-$B$10,IF($B$4="Long Put",$B$9-$B$11,IF($B$4="Covered Put",$B$6+$B$11,IF($B$4="Short Straddle",$B$9-($B$10+$B$11),IF($B$4="Short Strangle",$B$9-($B$10+$B$11),"")))))))</f>
        <v>181</v>
      </c>
      <c r="G8" s="9" t="s">
        <v>25</v>
      </c>
    </row>
    <row r="9" ht="18.75" customHeight="1">
      <c r="A9" s="4" t="s">
        <v>26</v>
      </c>
      <c r="B9" s="10">
        <v>189.0</v>
      </c>
      <c r="C9" s="9" t="s">
        <v>27</v>
      </c>
      <c r="E9" s="4" t="s">
        <v>28</v>
      </c>
      <c r="F9" s="11">
        <f>IF($B$4="Short Straddle",$B$8+($B$10+$B$11),IF($B$4="Short Strangle",$B$8+($B$10+$B$11),""))</f>
        <v>197</v>
      </c>
      <c r="G9" s="9" t="s">
        <v>29</v>
      </c>
    </row>
    <row r="10" ht="18.75" customHeight="1">
      <c r="A10" s="4" t="s">
        <v>30</v>
      </c>
      <c r="B10" s="10">
        <v>5.0</v>
      </c>
      <c r="C10" s="9" t="s">
        <v>31</v>
      </c>
      <c r="E10" s="4" t="s">
        <v>32</v>
      </c>
      <c r="F10" s="7" t="str">
        <f>IF($B$4="Long Call","Unlimited",IF($B$4="Short Put",TEXT(($B$11*$B$12*$B$13)-$B$17,"$#,##0.00"),IF($B$4="Covered Call",TEXT((($B$8-$B$6)*$B$14)+($B$10*$B$12*$B$13)-$B$17,"$#,##0.00"),IF($B$4="Long Put",TEXT((($B$9-$B$11)*$B$12*$B$13)-$B$17,"$#,##0.00"),IF($B$4="Covered Put",TEXT((($B$6-$B$9)*$B$14)+($B$11*$B$12*$B$13)-$B$17,"$#,##0.00"),IF($B$4="Short Straddle",TEXT((($B$10+$B$11)*$B$12*$B$13)-$B$17,"$#,##0.00"),IF($B$4="Short Strangle",TEXT((($B$10+$B$11)*$B$12*$B$13)-$B$17,"$#,##0.00"),"")))))))</f>
        <v>$800.00</v>
      </c>
      <c r="G10" s="9" t="s">
        <v>33</v>
      </c>
    </row>
    <row r="11" ht="45.0" customHeight="1">
      <c r="A11" s="4" t="s">
        <v>34</v>
      </c>
      <c r="B11" s="10">
        <v>3.0</v>
      </c>
      <c r="C11" s="9" t="s">
        <v>31</v>
      </c>
      <c r="E11" s="4" t="s">
        <v>35</v>
      </c>
      <c r="F11" s="7" t="str">
        <f>IF($B$4="Long Call",TEXT(($B$10*$B$12*$B$13)+$B$17,"$#,##0.00"),IF($B$4="Short Put",TEXT((($B$9-$B$11)*$B$12*$B$13)+$B$17,"$#,##0.00"),IF($B$4="Covered Call",TEXT(($B$6*$B$14)-($B$10*$B$12*$B$13)+$B$17,"$#,##0.00"),IF($B$4="Long Put",TEXT(($B$11*$B$12*$B$13)+$B$17,"$#,##0.00"),IF($B$4="Covered Put","Unlimited if the stock continues rising",IF($B$4="Short Straddle","Unlimited upside; downside to $0 = "&amp;TEXT((($B$9-($B$10+$B$11))*$B$12*$B$13)+$B$17,"$#,##0.00"),IF($B$4="Short Strangle","Unlimited upside; downside to $0 = "&amp;TEXT((($B$9-($B$10+$B$11))*$B$12*$B$13)+$B$17,"$#,##0.00"),"")))))))</f>
        <v>Unlimited upside; downside to $0 = $18,100.00</v>
      </c>
      <c r="G11" s="9" t="s">
        <v>36</v>
      </c>
    </row>
    <row r="12" ht="18.75" customHeight="1">
      <c r="A12" s="4" t="s">
        <v>37</v>
      </c>
      <c r="B12" s="12">
        <v>1.0</v>
      </c>
      <c r="C12" s="9" t="s">
        <v>38</v>
      </c>
      <c r="E12" s="4" t="s">
        <v>39</v>
      </c>
      <c r="F12" s="13">
        <f>MAX($B$7-$B$8,0)</f>
        <v>11</v>
      </c>
      <c r="G12" s="9" t="s">
        <v>40</v>
      </c>
    </row>
    <row r="13" ht="18.75" customHeight="1">
      <c r="A13" s="4" t="s">
        <v>41</v>
      </c>
      <c r="B13" s="12">
        <v>100.0</v>
      </c>
      <c r="C13" s="9" t="s">
        <v>42</v>
      </c>
      <c r="E13" s="4" t="s">
        <v>43</v>
      </c>
      <c r="F13" s="13">
        <f>MAX($B$9-$B$7,0)</f>
        <v>0</v>
      </c>
      <c r="G13" s="9" t="s">
        <v>44</v>
      </c>
    </row>
    <row r="14" ht="18.75" customHeight="1">
      <c r="A14" s="4" t="s">
        <v>45</v>
      </c>
      <c r="B14" s="12">
        <v>100.0</v>
      </c>
      <c r="C14" s="9" t="s">
        <v>46</v>
      </c>
      <c r="E14" s="4" t="s">
        <v>47</v>
      </c>
      <c r="F14" s="13">
        <f>IF($B$4="Covered Call",($B$7-$B$6)*$B$14,IF($B$4="Covered Put",($B$6-$B$7)*$B$14,0))</f>
        <v>0</v>
      </c>
      <c r="G14" s="9" t="s">
        <v>48</v>
      </c>
    </row>
    <row r="15" ht="18.75" customHeight="1">
      <c r="A15" s="4" t="s">
        <v>49</v>
      </c>
      <c r="B15" s="14">
        <v>46283.0</v>
      </c>
      <c r="C15" s="9" t="s">
        <v>50</v>
      </c>
      <c r="E15" s="4" t="s">
        <v>51</v>
      </c>
      <c r="F15" s="13">
        <f>IF($B$4="Long Call",(F12-$B$10)*$B$12*$B$13,IF($B$4="Short Put",($B$11-F13)*$B$12*$B$13,IF($B$4="Covered Call",($B$10-F12)*$B$12*$B$13,IF($B$4="Long Put",(F13-$B$11)*$B$12*$B$13,IF($B$4="Covered Put",($B$11-F13)*$B$12*$B$13,IF($B$4="Short Straddle",(($B$10+$B$11)-F12-F13)*$B$12*$B$13,IF($B$4="Short Strangle",(($B$10+$B$11)-F12-F13)*$B$12*$B$13,0)))))))</f>
        <v>-300</v>
      </c>
      <c r="G15" s="9" t="s">
        <v>52</v>
      </c>
    </row>
    <row r="16" ht="18.75" customHeight="1">
      <c r="A16" s="4" t="s">
        <v>53</v>
      </c>
      <c r="B16" s="12">
        <f>MAX(B15-TODAY(),0)</f>
        <v>58</v>
      </c>
      <c r="C16" s="9" t="s">
        <v>54</v>
      </c>
      <c r="E16" s="4" t="s">
        <v>55</v>
      </c>
      <c r="F16" s="13">
        <f>F14+F15</f>
        <v>-300</v>
      </c>
      <c r="G16" s="9" t="s">
        <v>56</v>
      </c>
    </row>
    <row r="17" ht="18.75" customHeight="1">
      <c r="A17" s="4" t="s">
        <v>57</v>
      </c>
      <c r="B17" s="15">
        <v>0.0</v>
      </c>
      <c r="C17" s="9" t="s">
        <v>58</v>
      </c>
      <c r="E17" s="4" t="s">
        <v>59</v>
      </c>
      <c r="F17" s="11">
        <f>F16-$B$17</f>
        <v>-300</v>
      </c>
      <c r="G17" s="9" t="s">
        <v>60</v>
      </c>
    </row>
    <row r="18" ht="33.0" customHeight="1">
      <c r="A18" s="4" t="s">
        <v>61</v>
      </c>
      <c r="B18" s="15">
        <v>5000.0</v>
      </c>
      <c r="C18" s="9" t="s">
        <v>62</v>
      </c>
      <c r="E18" s="4" t="s">
        <v>63</v>
      </c>
      <c r="F18" s="16">
        <f>IF($B$4="Long Call",IF((($B$10*$B$12*$B$13)+$B$17)=0,0,F17/(($B$10*$B$12*$B$13)+$B$17)),IF($B$4="Long Put",IF((($B$11*$B$12*$B$13)+$B$17)=0,0,F17/(($B$11*$B$12*$B$13)+$B$17)),IF($B$4="Covered Call",IF((($B$6*$B$14)-($B$10*$B$12*$B$13)+$B$17)=0,0,F17/(($B$6*$B$14)-($B$10*$B$12*$B$13)+$B$17)),IF($B$4="Short Put",IF($B$18=0,0,F17/$B$18),IF($B$4="Covered Put",IF($B$18=0,0,F17/$B$18),IF($B$4="Short Straddle",IF($B$18=0,0,F17/$B$18),IF($B$4="Short Strangle",IF($B$18=0,0,F17/$B$18),0)))))))</f>
        <v>-0.06</v>
      </c>
      <c r="G18" s="9" t="s">
        <v>64</v>
      </c>
    </row>
    <row r="19" ht="18.75" customHeight="1">
      <c r="A19" s="4" t="s">
        <v>65</v>
      </c>
      <c r="B19" s="8" t="s">
        <v>66</v>
      </c>
      <c r="C19" s="9" t="s">
        <v>67</v>
      </c>
      <c r="E19" s="4" t="s">
        <v>68</v>
      </c>
      <c r="F19" s="7" t="str">
        <f>IF($B$4="Long Call","Above $"&amp;TEXT(F8,"0.00"),IF($B$4="Short Put","Above $"&amp;TEXT(F8,"0.00"),IF($B$4="Covered Call","Above $"&amp;TEXT(F8,"0.00")&amp;"; maximum profit at or above the call strike",IF($B$4="Long Put","Below $"&amp;TEXT(F8,"0.00"),IF($B$4="Covered Put","Below $"&amp;TEXT(F8,"0.00")&amp;"; maximum profit at or below the put strike",IF($B$4="Short Straddle","Between $"&amp;TEXT(F8,"0.00")&amp;" and $"&amp;TEXT(F9,"0.00")&amp;"; maximum at the strike",IF($B$4="Short Strangle","Between $"&amp;TEXT(F8,"0.00")&amp;" and $"&amp;TEXT(F9,"0.00")&amp;"; maximum between the strikes","")))))))</f>
        <v>Between $181.00 and $197.00; maximum between the strikes</v>
      </c>
      <c r="G19" s="9" t="s">
        <v>69</v>
      </c>
    </row>
    <row r="20" ht="18.75" customHeight="1">
      <c r="A20" s="4" t="s">
        <v>70</v>
      </c>
      <c r="B20" s="17">
        <v>0.5</v>
      </c>
      <c r="C20" s="9" t="s">
        <v>71</v>
      </c>
      <c r="E20" s="4" t="s">
        <v>72</v>
      </c>
      <c r="F20" s="7" t="str">
        <f>IF(OR($B$4="Long Call",$B$4="Long Put"),"Hurts — purchased options lose time value","Helps — sold option premium generally decays")</f>
        <v>Helps — sold option premium generally decays</v>
      </c>
      <c r="G20" s="9" t="s">
        <v>73</v>
      </c>
    </row>
    <row r="21" ht="18.75" customHeight="1">
      <c r="A21" s="4" t="s">
        <v>74</v>
      </c>
      <c r="B21" s="17">
        <v>1.5</v>
      </c>
      <c r="C21" s="9" t="s">
        <v>75</v>
      </c>
      <c r="E21" s="4" t="s">
        <v>76</v>
      </c>
      <c r="F21" s="7" t="str">
        <f>IF(OR($B$4="Long Call",$B$4="Long Put"),"Rising implied volatility generally helps","Falling implied volatility generally helps")</f>
        <v>Falling implied volatility generally helps</v>
      </c>
      <c r="G21" s="9" t="s">
        <v>77</v>
      </c>
    </row>
    <row r="22" ht="33.0" customHeight="1">
      <c r="A22" s="4" t="s">
        <v>78</v>
      </c>
      <c r="B22" s="18">
        <v>20.0</v>
      </c>
      <c r="C22" s="19" t="s">
        <v>79</v>
      </c>
      <c r="E22" s="4" t="s">
        <v>80</v>
      </c>
      <c r="F22" s="7" t="str">
        <f>IF(AND($B$4="Short Straddle",$B$8&lt;&gt;$B$9),"ERROR: Short straddle call and put strikes must match",IF(AND($B$4="Short Strangle",$B$9&gt;=$B$8),"ERROR: Short strangle put strike must be below call strike",IF(AND(OR($B$4="Covered Call",$B$4="Covered Put"),$B$14&lt;&gt;$B$12*$B$13),"WARNING: Covered shares should equal contracts × shares per contract",IF(OR($B$6&lt;=0,$B$7&lt;0,$B$8&lt;0,$B$9&lt;0,$B$12&lt;=0,$B$13&lt;=0),"ERROR: Review price, contract, and multiplier inputs","SETUP OK"))))</f>
        <v>ERROR: Short strangle put strike must be below call strike</v>
      </c>
      <c r="G22" s="19" t="s">
        <v>81</v>
      </c>
      <c r="J22" s="3" t="s">
        <v>82</v>
      </c>
    </row>
    <row r="23" ht="33.75" customHeight="1">
      <c r="J23" s="20" t="s">
        <v>4</v>
      </c>
      <c r="K23" s="21" t="s">
        <v>83</v>
      </c>
      <c r="L23" s="21" t="s">
        <v>16</v>
      </c>
      <c r="M23" s="21" t="s">
        <v>84</v>
      </c>
      <c r="N23" s="21" t="s">
        <v>85</v>
      </c>
      <c r="O23" s="21" t="s">
        <v>32</v>
      </c>
      <c r="P23" s="22" t="s">
        <v>86</v>
      </c>
    </row>
    <row r="24" ht="18.75" customHeight="1">
      <c r="J24" s="4" t="s">
        <v>87</v>
      </c>
      <c r="K24" s="23" t="s">
        <v>88</v>
      </c>
      <c r="L24" s="23" t="s">
        <v>89</v>
      </c>
      <c r="M24" s="23" t="s">
        <v>90</v>
      </c>
      <c r="N24" s="23" t="s">
        <v>91</v>
      </c>
      <c r="O24" s="23" t="s">
        <v>92</v>
      </c>
      <c r="P24" s="23" t="s">
        <v>93</v>
      </c>
    </row>
    <row r="25" ht="18.75" customHeight="1">
      <c r="A25" s="3" t="s">
        <v>94</v>
      </c>
      <c r="J25" s="4" t="s">
        <v>95</v>
      </c>
      <c r="K25" s="23" t="s">
        <v>96</v>
      </c>
      <c r="L25" s="23" t="s">
        <v>97</v>
      </c>
      <c r="M25" s="23" t="s">
        <v>98</v>
      </c>
      <c r="N25" s="23" t="s">
        <v>99</v>
      </c>
      <c r="O25" s="23" t="s">
        <v>100</v>
      </c>
      <c r="P25" s="23" t="s">
        <v>101</v>
      </c>
    </row>
    <row r="26" ht="37.5" customHeight="1">
      <c r="A26" s="20" t="s">
        <v>102</v>
      </c>
      <c r="B26" s="21" t="s">
        <v>103</v>
      </c>
      <c r="C26" s="21" t="s">
        <v>104</v>
      </c>
      <c r="D26" s="21" t="s">
        <v>105</v>
      </c>
      <c r="E26" s="21" t="s">
        <v>106</v>
      </c>
      <c r="F26" s="21" t="s">
        <v>107</v>
      </c>
      <c r="G26" s="21" t="s">
        <v>108</v>
      </c>
      <c r="H26" s="22" t="s">
        <v>109</v>
      </c>
      <c r="J26" s="4" t="s">
        <v>110</v>
      </c>
      <c r="K26" s="23" t="s">
        <v>111</v>
      </c>
      <c r="L26" s="23" t="s">
        <v>112</v>
      </c>
      <c r="M26" s="23" t="s">
        <v>98</v>
      </c>
      <c r="N26" s="23" t="s">
        <v>99</v>
      </c>
      <c r="O26" s="23" t="s">
        <v>113</v>
      </c>
      <c r="P26" s="23" t="s">
        <v>114</v>
      </c>
    </row>
    <row r="27" ht="18.75" customHeight="1">
      <c r="A27" s="24">
        <f>IF(0&lt;=$B$22,$B$6*$B$20+0*($B$6*($B$21-$B$20)/$B$22),"")</f>
        <v>97</v>
      </c>
      <c r="B27" s="24">
        <f t="shared" ref="B27:B57" si="1">IF(A27="","",MAX(A27-$B$8,0))</f>
        <v>0</v>
      </c>
      <c r="C27" s="24">
        <f t="shared" ref="C27:C57" si="2">IF(A27="","",MAX($B$9-A27,0))</f>
        <v>92</v>
      </c>
      <c r="D27" s="24">
        <f t="shared" ref="D27:D57" si="3">IF(A27="","",IF($B$4="Covered Call",(A27-$B$6)*$B$14,IF($B$4="Covered Put",($B$6-A27)*$B$14,0)))</f>
        <v>0</v>
      </c>
      <c r="E27" s="24">
        <f t="shared" ref="E27:E57" si="4">IF(A27="","",IF($B$4="Long Call",(B27-$B$10)*$B$12*$B$13,IF($B$4="Short Put",($B$11-C27)*$B$12*$B$13,IF($B$4="Covered Call",($B$10-B27)*$B$12*$B$13,IF($B$4="Long Put",(C27-$B$11)*$B$12*$B$13,IF($B$4="Covered Put",($B$11-C27)*$B$12*$B$13,IF($B$4="Short Straddle",(($B$10+$B$11)-B27-C27)*$B$12*$B$13,IF($B$4="Short Strangle",(($B$10+$B$11)-B27-C27)*$B$12*$B$13,0))))))))</f>
        <v>-8400</v>
      </c>
      <c r="F27" s="24">
        <f t="shared" ref="F27:F57" si="5">IF(A27="","",D27+E27)</f>
        <v>-8400</v>
      </c>
      <c r="G27" s="24">
        <f t="shared" ref="G27:G57" si="6">IF(A27="","",F27-$B$17)</f>
        <v>-8400</v>
      </c>
      <c r="H27" s="23" t="str">
        <f t="shared" ref="H27:H57" si="7">IF(A27="","",IF(ABS(G27)&lt;0.005,"BREAKEVEN",IF(G27&gt;0,"PROFIT","LOSS")))</f>
        <v>LOSS</v>
      </c>
      <c r="J27" s="4" t="s">
        <v>115</v>
      </c>
      <c r="K27" s="23" t="s">
        <v>116</v>
      </c>
      <c r="L27" s="23" t="s">
        <v>117</v>
      </c>
      <c r="M27" s="23" t="s">
        <v>90</v>
      </c>
      <c r="N27" s="23" t="s">
        <v>91</v>
      </c>
      <c r="O27" s="23" t="s">
        <v>118</v>
      </c>
      <c r="P27" s="23" t="s">
        <v>93</v>
      </c>
    </row>
    <row r="28" ht="18.75" customHeight="1">
      <c r="A28" s="24">
        <f>IF(1&lt;=$B$22,$B$6*$B$20+1*($B$6*($B$21-$B$20)/$B$22),"")</f>
        <v>106.7</v>
      </c>
      <c r="B28" s="24">
        <f t="shared" si="1"/>
        <v>0</v>
      </c>
      <c r="C28" s="24">
        <f t="shared" si="2"/>
        <v>82.3</v>
      </c>
      <c r="D28" s="24">
        <f t="shared" si="3"/>
        <v>0</v>
      </c>
      <c r="E28" s="24">
        <f t="shared" si="4"/>
        <v>-7430</v>
      </c>
      <c r="F28" s="24">
        <f t="shared" si="5"/>
        <v>-7430</v>
      </c>
      <c r="G28" s="24">
        <f t="shared" si="6"/>
        <v>-7430</v>
      </c>
      <c r="H28" s="23" t="str">
        <f t="shared" si="7"/>
        <v>LOSS</v>
      </c>
      <c r="J28" s="4" t="s">
        <v>119</v>
      </c>
      <c r="K28" s="23" t="s">
        <v>120</v>
      </c>
      <c r="L28" s="23" t="s">
        <v>121</v>
      </c>
      <c r="M28" s="23" t="s">
        <v>98</v>
      </c>
      <c r="N28" s="23" t="s">
        <v>99</v>
      </c>
      <c r="O28" s="23" t="s">
        <v>113</v>
      </c>
      <c r="P28" s="23" t="s">
        <v>122</v>
      </c>
    </row>
    <row r="29" ht="18.75" customHeight="1">
      <c r="A29" s="24">
        <f>IF(2&lt;=$B$22,$B$6*$B$20+2*($B$6*($B$21-$B$20)/$B$22),"")</f>
        <v>116.4</v>
      </c>
      <c r="B29" s="24">
        <f t="shared" si="1"/>
        <v>0</v>
      </c>
      <c r="C29" s="24">
        <f t="shared" si="2"/>
        <v>72.6</v>
      </c>
      <c r="D29" s="24">
        <f t="shared" si="3"/>
        <v>0</v>
      </c>
      <c r="E29" s="24">
        <f t="shared" si="4"/>
        <v>-6460</v>
      </c>
      <c r="F29" s="24">
        <f t="shared" si="5"/>
        <v>-6460</v>
      </c>
      <c r="G29" s="24">
        <f t="shared" si="6"/>
        <v>-6460</v>
      </c>
      <c r="H29" s="23" t="str">
        <f t="shared" si="7"/>
        <v>LOSS</v>
      </c>
      <c r="J29" s="4" t="s">
        <v>123</v>
      </c>
      <c r="K29" s="23" t="s">
        <v>124</v>
      </c>
      <c r="L29" s="23" t="s">
        <v>125</v>
      </c>
      <c r="M29" s="23" t="s">
        <v>98</v>
      </c>
      <c r="N29" s="23" t="s">
        <v>99</v>
      </c>
      <c r="O29" s="23" t="s">
        <v>126</v>
      </c>
      <c r="P29" s="23" t="s">
        <v>127</v>
      </c>
    </row>
    <row r="30" ht="18.75" customHeight="1">
      <c r="A30" s="24">
        <f>IF(3&lt;=$B$22,$B$6*$B$20+3*($B$6*($B$21-$B$20)/$B$22),"")</f>
        <v>126.1</v>
      </c>
      <c r="B30" s="24">
        <f t="shared" si="1"/>
        <v>0</v>
      </c>
      <c r="C30" s="24">
        <f t="shared" si="2"/>
        <v>62.9</v>
      </c>
      <c r="D30" s="24">
        <f t="shared" si="3"/>
        <v>0</v>
      </c>
      <c r="E30" s="24">
        <f t="shared" si="4"/>
        <v>-5490</v>
      </c>
      <c r="F30" s="24">
        <f t="shared" si="5"/>
        <v>-5490</v>
      </c>
      <c r="G30" s="24">
        <f t="shared" si="6"/>
        <v>-5490</v>
      </c>
      <c r="H30" s="23" t="str">
        <f t="shared" si="7"/>
        <v>LOSS</v>
      </c>
      <c r="J30" s="4" t="s">
        <v>5</v>
      </c>
      <c r="K30" s="23" t="s">
        <v>128</v>
      </c>
      <c r="L30" s="23" t="s">
        <v>125</v>
      </c>
      <c r="M30" s="23" t="s">
        <v>98</v>
      </c>
      <c r="N30" s="23" t="s">
        <v>99</v>
      </c>
      <c r="O30" s="23" t="s">
        <v>126</v>
      </c>
      <c r="P30" s="23" t="s">
        <v>129</v>
      </c>
    </row>
    <row r="31" ht="18.75" customHeight="1">
      <c r="A31" s="24">
        <f>IF(4&lt;=$B$22,$B$6*$B$20+4*($B$6*($B$21-$B$20)/$B$22),"")</f>
        <v>135.8</v>
      </c>
      <c r="B31" s="24">
        <f t="shared" si="1"/>
        <v>0</v>
      </c>
      <c r="C31" s="24">
        <f t="shared" si="2"/>
        <v>53.2</v>
      </c>
      <c r="D31" s="24">
        <f t="shared" si="3"/>
        <v>0</v>
      </c>
      <c r="E31" s="24">
        <f t="shared" si="4"/>
        <v>-4520</v>
      </c>
      <c r="F31" s="24">
        <f t="shared" si="5"/>
        <v>-4520</v>
      </c>
      <c r="G31" s="24">
        <f t="shared" si="6"/>
        <v>-4520</v>
      </c>
      <c r="H31" s="23" t="str">
        <f t="shared" si="7"/>
        <v>LOSS</v>
      </c>
    </row>
    <row r="32" ht="18.75" customHeight="1">
      <c r="A32" s="24">
        <f>IF(5&lt;=$B$22,$B$6*$B$20+5*($B$6*($B$21-$B$20)/$B$22),"")</f>
        <v>145.5</v>
      </c>
      <c r="B32" s="24">
        <f t="shared" si="1"/>
        <v>0</v>
      </c>
      <c r="C32" s="24">
        <f t="shared" si="2"/>
        <v>43.5</v>
      </c>
      <c r="D32" s="24">
        <f t="shared" si="3"/>
        <v>0</v>
      </c>
      <c r="E32" s="24">
        <f t="shared" si="4"/>
        <v>-3550</v>
      </c>
      <c r="F32" s="24">
        <f t="shared" si="5"/>
        <v>-3550</v>
      </c>
      <c r="G32" s="24">
        <f t="shared" si="6"/>
        <v>-3550</v>
      </c>
      <c r="H32" s="23" t="str">
        <f t="shared" si="7"/>
        <v>LOSS</v>
      </c>
    </row>
    <row r="33" ht="18.75" customHeight="1">
      <c r="A33" s="24">
        <f>IF(6&lt;=$B$22,$B$6*$B$20+6*($B$6*($B$21-$B$20)/$B$22),"")</f>
        <v>155.2</v>
      </c>
      <c r="B33" s="24">
        <f t="shared" si="1"/>
        <v>0</v>
      </c>
      <c r="C33" s="24">
        <f t="shared" si="2"/>
        <v>33.8</v>
      </c>
      <c r="D33" s="24">
        <f t="shared" si="3"/>
        <v>0</v>
      </c>
      <c r="E33" s="24">
        <f t="shared" si="4"/>
        <v>-2580</v>
      </c>
      <c r="F33" s="24">
        <f t="shared" si="5"/>
        <v>-2580</v>
      </c>
      <c r="G33" s="24">
        <f t="shared" si="6"/>
        <v>-2580</v>
      </c>
      <c r="H33" s="23" t="str">
        <f t="shared" si="7"/>
        <v>LOSS</v>
      </c>
    </row>
    <row r="34" ht="18.75" customHeight="1">
      <c r="A34" s="24">
        <f>IF(7&lt;=$B$22,$B$6*$B$20+7*($B$6*($B$21-$B$20)/$B$22),"")</f>
        <v>164.9</v>
      </c>
      <c r="B34" s="24">
        <f t="shared" si="1"/>
        <v>0</v>
      </c>
      <c r="C34" s="24">
        <f t="shared" si="2"/>
        <v>24.1</v>
      </c>
      <c r="D34" s="24">
        <f t="shared" si="3"/>
        <v>0</v>
      </c>
      <c r="E34" s="24">
        <f t="shared" si="4"/>
        <v>-1610</v>
      </c>
      <c r="F34" s="24">
        <f t="shared" si="5"/>
        <v>-1610</v>
      </c>
      <c r="G34" s="24">
        <f t="shared" si="6"/>
        <v>-1610</v>
      </c>
      <c r="H34" s="23" t="str">
        <f t="shared" si="7"/>
        <v>LOSS</v>
      </c>
    </row>
    <row r="35" ht="18.75" customHeight="1">
      <c r="A35" s="24">
        <f>IF(8&lt;=$B$22,$B$6*$B$20+8*($B$6*($B$21-$B$20)/$B$22),"")</f>
        <v>174.6</v>
      </c>
      <c r="B35" s="24">
        <f t="shared" si="1"/>
        <v>0</v>
      </c>
      <c r="C35" s="24">
        <f t="shared" si="2"/>
        <v>14.4</v>
      </c>
      <c r="D35" s="24">
        <f t="shared" si="3"/>
        <v>0</v>
      </c>
      <c r="E35" s="24">
        <f t="shared" si="4"/>
        <v>-640</v>
      </c>
      <c r="F35" s="24">
        <f t="shared" si="5"/>
        <v>-640</v>
      </c>
      <c r="G35" s="24">
        <f t="shared" si="6"/>
        <v>-640</v>
      </c>
      <c r="H35" s="23" t="str">
        <f t="shared" si="7"/>
        <v>LOSS</v>
      </c>
    </row>
    <row r="36" ht="18.75" customHeight="1">
      <c r="A36" s="24">
        <f>IF(9&lt;=$B$22,$B$6*$B$20+9*($B$6*($B$21-$B$20)/$B$22),"")</f>
        <v>184.3</v>
      </c>
      <c r="B36" s="24">
        <f t="shared" si="1"/>
        <v>0</v>
      </c>
      <c r="C36" s="24">
        <f t="shared" si="2"/>
        <v>4.7</v>
      </c>
      <c r="D36" s="24">
        <f t="shared" si="3"/>
        <v>0</v>
      </c>
      <c r="E36" s="24">
        <f t="shared" si="4"/>
        <v>330</v>
      </c>
      <c r="F36" s="24">
        <f t="shared" si="5"/>
        <v>330</v>
      </c>
      <c r="G36" s="24">
        <f t="shared" si="6"/>
        <v>330</v>
      </c>
      <c r="H36" s="23" t="str">
        <f t="shared" si="7"/>
        <v>PROFIT</v>
      </c>
    </row>
    <row r="37" ht="18.75" customHeight="1">
      <c r="A37" s="24">
        <f>IF(10&lt;=$B$22,$B$6*$B$20+10*($B$6*($B$21-$B$20)/$B$22),"")</f>
        <v>194</v>
      </c>
      <c r="B37" s="24">
        <f t="shared" si="1"/>
        <v>5</v>
      </c>
      <c r="C37" s="24">
        <f t="shared" si="2"/>
        <v>0</v>
      </c>
      <c r="D37" s="24">
        <f t="shared" si="3"/>
        <v>0</v>
      </c>
      <c r="E37" s="24">
        <f t="shared" si="4"/>
        <v>300</v>
      </c>
      <c r="F37" s="24">
        <f t="shared" si="5"/>
        <v>300</v>
      </c>
      <c r="G37" s="24">
        <f t="shared" si="6"/>
        <v>300</v>
      </c>
      <c r="H37" s="23" t="str">
        <f t="shared" si="7"/>
        <v>PROFIT</v>
      </c>
    </row>
    <row r="38" ht="18.75" customHeight="1">
      <c r="A38" s="24">
        <f>IF(11&lt;=$B$22,$B$6*$B$20+11*($B$6*($B$21-$B$20)/$B$22),"")</f>
        <v>203.7</v>
      </c>
      <c r="B38" s="24">
        <f t="shared" si="1"/>
        <v>14.7</v>
      </c>
      <c r="C38" s="24">
        <f t="shared" si="2"/>
        <v>0</v>
      </c>
      <c r="D38" s="24">
        <f t="shared" si="3"/>
        <v>0</v>
      </c>
      <c r="E38" s="24">
        <f t="shared" si="4"/>
        <v>-670</v>
      </c>
      <c r="F38" s="24">
        <f t="shared" si="5"/>
        <v>-670</v>
      </c>
      <c r="G38" s="24">
        <f t="shared" si="6"/>
        <v>-670</v>
      </c>
      <c r="H38" s="23" t="str">
        <f t="shared" si="7"/>
        <v>LOSS</v>
      </c>
    </row>
    <row r="39" ht="18.75" customHeight="1">
      <c r="A39" s="24">
        <f>IF(12&lt;=$B$22,$B$6*$B$20+12*($B$6*($B$21-$B$20)/$B$22),"")</f>
        <v>213.4</v>
      </c>
      <c r="B39" s="24">
        <f t="shared" si="1"/>
        <v>24.4</v>
      </c>
      <c r="C39" s="24">
        <f t="shared" si="2"/>
        <v>0</v>
      </c>
      <c r="D39" s="24">
        <f t="shared" si="3"/>
        <v>0</v>
      </c>
      <c r="E39" s="24">
        <f t="shared" si="4"/>
        <v>-1640</v>
      </c>
      <c r="F39" s="24">
        <f t="shared" si="5"/>
        <v>-1640</v>
      </c>
      <c r="G39" s="24">
        <f t="shared" si="6"/>
        <v>-1640</v>
      </c>
      <c r="H39" s="23" t="str">
        <f t="shared" si="7"/>
        <v>LOSS</v>
      </c>
    </row>
    <row r="40" ht="18.75" customHeight="1">
      <c r="A40" s="24">
        <f>IF(13&lt;=$B$22,$B$6*$B$20+13*($B$6*($B$21-$B$20)/$B$22),"")</f>
        <v>223.1</v>
      </c>
      <c r="B40" s="24">
        <f t="shared" si="1"/>
        <v>34.1</v>
      </c>
      <c r="C40" s="24">
        <f t="shared" si="2"/>
        <v>0</v>
      </c>
      <c r="D40" s="24">
        <f t="shared" si="3"/>
        <v>0</v>
      </c>
      <c r="E40" s="24">
        <f t="shared" si="4"/>
        <v>-2610</v>
      </c>
      <c r="F40" s="24">
        <f t="shared" si="5"/>
        <v>-2610</v>
      </c>
      <c r="G40" s="24">
        <f t="shared" si="6"/>
        <v>-2610</v>
      </c>
      <c r="H40" s="23" t="str">
        <f t="shared" si="7"/>
        <v>LOSS</v>
      </c>
    </row>
    <row r="41" ht="18.75" customHeight="1">
      <c r="A41" s="24">
        <f>IF(14&lt;=$B$22,$B$6*$B$20+14*($B$6*($B$21-$B$20)/$B$22),"")</f>
        <v>232.8</v>
      </c>
      <c r="B41" s="24">
        <f t="shared" si="1"/>
        <v>43.8</v>
      </c>
      <c r="C41" s="24">
        <f t="shared" si="2"/>
        <v>0</v>
      </c>
      <c r="D41" s="24">
        <f t="shared" si="3"/>
        <v>0</v>
      </c>
      <c r="E41" s="24">
        <f t="shared" si="4"/>
        <v>-3580</v>
      </c>
      <c r="F41" s="24">
        <f t="shared" si="5"/>
        <v>-3580</v>
      </c>
      <c r="G41" s="24">
        <f t="shared" si="6"/>
        <v>-3580</v>
      </c>
      <c r="H41" s="23" t="str">
        <f t="shared" si="7"/>
        <v>LOSS</v>
      </c>
    </row>
    <row r="42" ht="18.75" customHeight="1">
      <c r="A42" s="24">
        <f>IF(15&lt;=$B$22,$B$6*$B$20+15*($B$6*($B$21-$B$20)/$B$22),"")</f>
        <v>242.5</v>
      </c>
      <c r="B42" s="24">
        <f t="shared" si="1"/>
        <v>53.5</v>
      </c>
      <c r="C42" s="24">
        <f t="shared" si="2"/>
        <v>0</v>
      </c>
      <c r="D42" s="24">
        <f t="shared" si="3"/>
        <v>0</v>
      </c>
      <c r="E42" s="24">
        <f t="shared" si="4"/>
        <v>-4550</v>
      </c>
      <c r="F42" s="24">
        <f t="shared" si="5"/>
        <v>-4550</v>
      </c>
      <c r="G42" s="24">
        <f t="shared" si="6"/>
        <v>-4550</v>
      </c>
      <c r="H42" s="23" t="str">
        <f t="shared" si="7"/>
        <v>LOSS</v>
      </c>
    </row>
    <row r="43" ht="18.75" customHeight="1">
      <c r="A43" s="24">
        <f>IF(16&lt;=$B$22,$B$6*$B$20+16*($B$6*($B$21-$B$20)/$B$22),"")</f>
        <v>252.2</v>
      </c>
      <c r="B43" s="24">
        <f t="shared" si="1"/>
        <v>63.2</v>
      </c>
      <c r="C43" s="24">
        <f t="shared" si="2"/>
        <v>0</v>
      </c>
      <c r="D43" s="24">
        <f t="shared" si="3"/>
        <v>0</v>
      </c>
      <c r="E43" s="24">
        <f t="shared" si="4"/>
        <v>-5520</v>
      </c>
      <c r="F43" s="24">
        <f t="shared" si="5"/>
        <v>-5520</v>
      </c>
      <c r="G43" s="24">
        <f t="shared" si="6"/>
        <v>-5520</v>
      </c>
      <c r="H43" s="23" t="str">
        <f t="shared" si="7"/>
        <v>LOSS</v>
      </c>
    </row>
    <row r="44" ht="18.75" customHeight="1">
      <c r="A44" s="24">
        <f>IF(17&lt;=$B$22,$B$6*$B$20+17*($B$6*($B$21-$B$20)/$B$22),"")</f>
        <v>261.9</v>
      </c>
      <c r="B44" s="24">
        <f t="shared" si="1"/>
        <v>72.9</v>
      </c>
      <c r="C44" s="24">
        <f t="shared" si="2"/>
        <v>0</v>
      </c>
      <c r="D44" s="24">
        <f t="shared" si="3"/>
        <v>0</v>
      </c>
      <c r="E44" s="24">
        <f t="shared" si="4"/>
        <v>-6490</v>
      </c>
      <c r="F44" s="24">
        <f t="shared" si="5"/>
        <v>-6490</v>
      </c>
      <c r="G44" s="24">
        <f t="shared" si="6"/>
        <v>-6490</v>
      </c>
      <c r="H44" s="23" t="str">
        <f t="shared" si="7"/>
        <v>LOSS</v>
      </c>
    </row>
    <row r="45" ht="18.75" customHeight="1">
      <c r="A45" s="24">
        <f>IF(18&lt;=$B$22,$B$6*$B$20+18*($B$6*($B$21-$B$20)/$B$22),"")</f>
        <v>271.6</v>
      </c>
      <c r="B45" s="24">
        <f t="shared" si="1"/>
        <v>82.6</v>
      </c>
      <c r="C45" s="24">
        <f t="shared" si="2"/>
        <v>0</v>
      </c>
      <c r="D45" s="24">
        <f t="shared" si="3"/>
        <v>0</v>
      </c>
      <c r="E45" s="24">
        <f t="shared" si="4"/>
        <v>-7460</v>
      </c>
      <c r="F45" s="24">
        <f t="shared" si="5"/>
        <v>-7460</v>
      </c>
      <c r="G45" s="24">
        <f t="shared" si="6"/>
        <v>-7460</v>
      </c>
      <c r="H45" s="23" t="str">
        <f t="shared" si="7"/>
        <v>LOSS</v>
      </c>
    </row>
    <row r="46" ht="18.75" customHeight="1">
      <c r="A46" s="24">
        <f>IF(19&lt;=$B$22,$B$6*$B$20+19*($B$6*($B$21-$B$20)/$B$22),"")</f>
        <v>281.3</v>
      </c>
      <c r="B46" s="24">
        <f t="shared" si="1"/>
        <v>92.3</v>
      </c>
      <c r="C46" s="24">
        <f t="shared" si="2"/>
        <v>0</v>
      </c>
      <c r="D46" s="24">
        <f t="shared" si="3"/>
        <v>0</v>
      </c>
      <c r="E46" s="24">
        <f t="shared" si="4"/>
        <v>-8430</v>
      </c>
      <c r="F46" s="24">
        <f t="shared" si="5"/>
        <v>-8430</v>
      </c>
      <c r="G46" s="24">
        <f t="shared" si="6"/>
        <v>-8430</v>
      </c>
      <c r="H46" s="23" t="str">
        <f t="shared" si="7"/>
        <v>LOSS</v>
      </c>
    </row>
    <row r="47" ht="18.75" customHeight="1">
      <c r="A47" s="24">
        <f>IF(20&lt;=$B$22,$B$6*$B$20+20*($B$6*($B$21-$B$20)/$B$22),"")</f>
        <v>291</v>
      </c>
      <c r="B47" s="24">
        <f t="shared" si="1"/>
        <v>102</v>
      </c>
      <c r="C47" s="24">
        <f t="shared" si="2"/>
        <v>0</v>
      </c>
      <c r="D47" s="24">
        <f t="shared" si="3"/>
        <v>0</v>
      </c>
      <c r="E47" s="24">
        <f t="shared" si="4"/>
        <v>-9400</v>
      </c>
      <c r="F47" s="24">
        <f t="shared" si="5"/>
        <v>-9400</v>
      </c>
      <c r="G47" s="24">
        <f t="shared" si="6"/>
        <v>-9400</v>
      </c>
      <c r="H47" s="23" t="str">
        <f t="shared" si="7"/>
        <v>LOSS</v>
      </c>
    </row>
    <row r="48" ht="18.75" customHeight="1">
      <c r="A48" s="24" t="str">
        <f>IF(21&lt;=$B$22,$B$6*$B$20+21*($B$6*($B$21-$B$20)/$B$22),"")</f>
        <v/>
      </c>
      <c r="B48" s="24" t="str">
        <f t="shared" si="1"/>
        <v/>
      </c>
      <c r="C48" s="24" t="str">
        <f t="shared" si="2"/>
        <v/>
      </c>
      <c r="D48" s="24" t="str">
        <f t="shared" si="3"/>
        <v/>
      </c>
      <c r="E48" s="24" t="str">
        <f t="shared" si="4"/>
        <v/>
      </c>
      <c r="F48" s="24" t="str">
        <f t="shared" si="5"/>
        <v/>
      </c>
      <c r="G48" s="24" t="str">
        <f t="shared" si="6"/>
        <v/>
      </c>
      <c r="H48" s="23" t="str">
        <f t="shared" si="7"/>
        <v/>
      </c>
    </row>
    <row r="49" ht="18.75" customHeight="1">
      <c r="A49" s="24" t="str">
        <f>IF(22&lt;=$B$22,$B$6*$B$20+22*($B$6*($B$21-$B$20)/$B$22),"")</f>
        <v/>
      </c>
      <c r="B49" s="24" t="str">
        <f t="shared" si="1"/>
        <v/>
      </c>
      <c r="C49" s="24" t="str">
        <f t="shared" si="2"/>
        <v/>
      </c>
      <c r="D49" s="24" t="str">
        <f t="shared" si="3"/>
        <v/>
      </c>
      <c r="E49" s="24" t="str">
        <f t="shared" si="4"/>
        <v/>
      </c>
      <c r="F49" s="24" t="str">
        <f t="shared" si="5"/>
        <v/>
      </c>
      <c r="G49" s="24" t="str">
        <f t="shared" si="6"/>
        <v/>
      </c>
      <c r="H49" s="23" t="str">
        <f t="shared" si="7"/>
        <v/>
      </c>
    </row>
    <row r="50" ht="18.75" customHeight="1">
      <c r="A50" s="24" t="str">
        <f>IF(23&lt;=$B$22,$B$6*$B$20+23*($B$6*($B$21-$B$20)/$B$22),"")</f>
        <v/>
      </c>
      <c r="B50" s="24" t="str">
        <f t="shared" si="1"/>
        <v/>
      </c>
      <c r="C50" s="24" t="str">
        <f t="shared" si="2"/>
        <v/>
      </c>
      <c r="D50" s="24" t="str">
        <f t="shared" si="3"/>
        <v/>
      </c>
      <c r="E50" s="24" t="str">
        <f t="shared" si="4"/>
        <v/>
      </c>
      <c r="F50" s="24" t="str">
        <f t="shared" si="5"/>
        <v/>
      </c>
      <c r="G50" s="24" t="str">
        <f t="shared" si="6"/>
        <v/>
      </c>
      <c r="H50" s="23" t="str">
        <f t="shared" si="7"/>
        <v/>
      </c>
    </row>
    <row r="51" ht="18.75" customHeight="1">
      <c r="A51" s="24" t="str">
        <f>IF(24&lt;=$B$22,$B$6*$B$20+24*($B$6*($B$21-$B$20)/$B$22),"")</f>
        <v/>
      </c>
      <c r="B51" s="24" t="str">
        <f t="shared" si="1"/>
        <v/>
      </c>
      <c r="C51" s="24" t="str">
        <f t="shared" si="2"/>
        <v/>
      </c>
      <c r="D51" s="24" t="str">
        <f t="shared" si="3"/>
        <v/>
      </c>
      <c r="E51" s="24" t="str">
        <f t="shared" si="4"/>
        <v/>
      </c>
      <c r="F51" s="24" t="str">
        <f t="shared" si="5"/>
        <v/>
      </c>
      <c r="G51" s="24" t="str">
        <f t="shared" si="6"/>
        <v/>
      </c>
      <c r="H51" s="23" t="str">
        <f t="shared" si="7"/>
        <v/>
      </c>
    </row>
    <row r="52" ht="18.75" customHeight="1">
      <c r="A52" s="24" t="str">
        <f>IF(25&lt;=$B$22,$B$6*$B$20+25*($B$6*($B$21-$B$20)/$B$22),"")</f>
        <v/>
      </c>
      <c r="B52" s="24" t="str">
        <f t="shared" si="1"/>
        <v/>
      </c>
      <c r="C52" s="24" t="str">
        <f t="shared" si="2"/>
        <v/>
      </c>
      <c r="D52" s="24" t="str">
        <f t="shared" si="3"/>
        <v/>
      </c>
      <c r="E52" s="24" t="str">
        <f t="shared" si="4"/>
        <v/>
      </c>
      <c r="F52" s="24" t="str">
        <f t="shared" si="5"/>
        <v/>
      </c>
      <c r="G52" s="24" t="str">
        <f t="shared" si="6"/>
        <v/>
      </c>
      <c r="H52" s="23" t="str">
        <f t="shared" si="7"/>
        <v/>
      </c>
    </row>
    <row r="53" ht="18.75" customHeight="1">
      <c r="A53" s="24" t="str">
        <f>IF(26&lt;=$B$22,$B$6*$B$20+26*($B$6*($B$21-$B$20)/$B$22),"")</f>
        <v/>
      </c>
      <c r="B53" s="24" t="str">
        <f t="shared" si="1"/>
        <v/>
      </c>
      <c r="C53" s="24" t="str">
        <f t="shared" si="2"/>
        <v/>
      </c>
      <c r="D53" s="24" t="str">
        <f t="shared" si="3"/>
        <v/>
      </c>
      <c r="E53" s="24" t="str">
        <f t="shared" si="4"/>
        <v/>
      </c>
      <c r="F53" s="24" t="str">
        <f t="shared" si="5"/>
        <v/>
      </c>
      <c r="G53" s="24" t="str">
        <f t="shared" si="6"/>
        <v/>
      </c>
      <c r="H53" s="23" t="str">
        <f t="shared" si="7"/>
        <v/>
      </c>
    </row>
    <row r="54" ht="18.75" customHeight="1">
      <c r="A54" s="24" t="str">
        <f>IF(27&lt;=$B$22,$B$6*$B$20+27*($B$6*($B$21-$B$20)/$B$22),"")</f>
        <v/>
      </c>
      <c r="B54" s="24" t="str">
        <f t="shared" si="1"/>
        <v/>
      </c>
      <c r="C54" s="24" t="str">
        <f t="shared" si="2"/>
        <v/>
      </c>
      <c r="D54" s="24" t="str">
        <f t="shared" si="3"/>
        <v/>
      </c>
      <c r="E54" s="24" t="str">
        <f t="shared" si="4"/>
        <v/>
      </c>
      <c r="F54" s="24" t="str">
        <f t="shared" si="5"/>
        <v/>
      </c>
      <c r="G54" s="24" t="str">
        <f t="shared" si="6"/>
        <v/>
      </c>
      <c r="H54" s="23" t="str">
        <f t="shared" si="7"/>
        <v/>
      </c>
    </row>
    <row r="55" ht="18.75" customHeight="1">
      <c r="A55" s="24" t="str">
        <f>IF(28&lt;=$B$22,$B$6*$B$20+28*($B$6*($B$21-$B$20)/$B$22),"")</f>
        <v/>
      </c>
      <c r="B55" s="24" t="str">
        <f t="shared" si="1"/>
        <v/>
      </c>
      <c r="C55" s="24" t="str">
        <f t="shared" si="2"/>
        <v/>
      </c>
      <c r="D55" s="24" t="str">
        <f t="shared" si="3"/>
        <v/>
      </c>
      <c r="E55" s="24" t="str">
        <f t="shared" si="4"/>
        <v/>
      </c>
      <c r="F55" s="24" t="str">
        <f t="shared" si="5"/>
        <v/>
      </c>
      <c r="G55" s="24" t="str">
        <f t="shared" si="6"/>
        <v/>
      </c>
      <c r="H55" s="23" t="str">
        <f t="shared" si="7"/>
        <v/>
      </c>
    </row>
    <row r="56" ht="18.75" customHeight="1">
      <c r="A56" s="24" t="str">
        <f>IF(29&lt;=$B$22,$B$6*$B$20+29*($B$6*($B$21-$B$20)/$B$22),"")</f>
        <v/>
      </c>
      <c r="B56" s="24" t="str">
        <f t="shared" si="1"/>
        <v/>
      </c>
      <c r="C56" s="24" t="str">
        <f t="shared" si="2"/>
        <v/>
      </c>
      <c r="D56" s="24" t="str">
        <f t="shared" si="3"/>
        <v/>
      </c>
      <c r="E56" s="24" t="str">
        <f t="shared" si="4"/>
        <v/>
      </c>
      <c r="F56" s="24" t="str">
        <f t="shared" si="5"/>
        <v/>
      </c>
      <c r="G56" s="24" t="str">
        <f t="shared" si="6"/>
        <v/>
      </c>
      <c r="H56" s="23" t="str">
        <f t="shared" si="7"/>
        <v/>
      </c>
    </row>
    <row r="57" ht="18.75" customHeight="1">
      <c r="A57" s="24" t="str">
        <f>IF(30&lt;=$B$22,$B$6*$B$20+30*($B$6*($B$21-$B$20)/$B$22),"")</f>
        <v/>
      </c>
      <c r="B57" s="24" t="str">
        <f t="shared" si="1"/>
        <v/>
      </c>
      <c r="C57" s="24" t="str">
        <f t="shared" si="2"/>
        <v/>
      </c>
      <c r="D57" s="24" t="str">
        <f t="shared" si="3"/>
        <v/>
      </c>
      <c r="E57" s="24" t="str">
        <f t="shared" si="4"/>
        <v/>
      </c>
      <c r="F57" s="24" t="str">
        <f t="shared" si="5"/>
        <v/>
      </c>
      <c r="G57" s="24" t="str">
        <f t="shared" si="6"/>
        <v/>
      </c>
      <c r="H57" s="23" t="str">
        <f t="shared" si="7"/>
        <v/>
      </c>
    </row>
    <row r="58" ht="18.75" customHeight="1"/>
    <row r="59" ht="18.75" customHeight="1"/>
    <row r="60" ht="18.75" customHeight="1">
      <c r="A60" s="3" t="s">
        <v>130</v>
      </c>
      <c r="J60" s="25" t="s">
        <v>131</v>
      </c>
      <c r="K60" s="26">
        <f>COUNTA(B62:B96)</f>
        <v>35</v>
      </c>
      <c r="L60" s="27" t="s">
        <v>132</v>
      </c>
      <c r="M60" s="26">
        <f>COUNTIF(F62:F96,"Completed")</f>
        <v>13</v>
      </c>
      <c r="N60" s="25" t="s">
        <v>133</v>
      </c>
      <c r="O60" s="26">
        <f>SUM(D62:D96)</f>
        <v>201</v>
      </c>
      <c r="P60" s="28">
        <f>IF(K60=0,0,M60/K60)</f>
        <v>0.3714285714</v>
      </c>
    </row>
    <row r="61" ht="33.75" customHeight="1">
      <c r="A61" s="20" t="s">
        <v>134</v>
      </c>
      <c r="B61" s="21" t="s">
        <v>135</v>
      </c>
      <c r="C61" s="21" t="s">
        <v>136</v>
      </c>
      <c r="D61" s="21" t="s">
        <v>137</v>
      </c>
      <c r="E61" s="21" t="s">
        <v>138</v>
      </c>
      <c r="F61" s="22" t="s">
        <v>139</v>
      </c>
    </row>
    <row r="62" ht="18.75" customHeight="1">
      <c r="A62" s="29" t="s">
        <v>140</v>
      </c>
      <c r="B62" s="23" t="s">
        <v>141</v>
      </c>
      <c r="C62" s="23" t="s">
        <v>142</v>
      </c>
      <c r="D62" s="30">
        <v>1.0</v>
      </c>
      <c r="E62" s="31"/>
      <c r="F62" s="23"/>
      <c r="H62" s="32" t="s">
        <v>143</v>
      </c>
    </row>
    <row r="63" ht="18.75" customHeight="1">
      <c r="A63" s="29" t="s">
        <v>140</v>
      </c>
      <c r="B63" s="23" t="s">
        <v>144</v>
      </c>
      <c r="C63" s="23" t="s">
        <v>145</v>
      </c>
      <c r="D63" s="30">
        <v>10.0</v>
      </c>
      <c r="E63" s="31"/>
      <c r="F63" s="23"/>
    </row>
    <row r="64" ht="18.75" customHeight="1">
      <c r="A64" s="29" t="s">
        <v>146</v>
      </c>
      <c r="B64" s="23" t="s">
        <v>147</v>
      </c>
      <c r="C64" s="23" t="s">
        <v>142</v>
      </c>
      <c r="D64" s="30">
        <v>1.0</v>
      </c>
      <c r="E64" s="31"/>
      <c r="F64" s="23"/>
    </row>
    <row r="65" ht="18.75" customHeight="1">
      <c r="A65" s="29" t="s">
        <v>146</v>
      </c>
      <c r="B65" s="23" t="s">
        <v>147</v>
      </c>
      <c r="C65" s="23" t="s">
        <v>145</v>
      </c>
      <c r="D65" s="30">
        <v>30.0</v>
      </c>
      <c r="E65" s="31"/>
      <c r="F65" s="23"/>
    </row>
    <row r="66" ht="18.75" customHeight="1">
      <c r="A66" s="29" t="s">
        <v>146</v>
      </c>
      <c r="B66" s="23" t="s">
        <v>147</v>
      </c>
      <c r="C66" s="23" t="s">
        <v>148</v>
      </c>
      <c r="D66" s="30">
        <v>0.0</v>
      </c>
      <c r="E66" s="31">
        <v>1.0</v>
      </c>
      <c r="F66" s="23" t="s">
        <v>149</v>
      </c>
    </row>
    <row r="67" ht="18.75" customHeight="1">
      <c r="A67" s="29" t="s">
        <v>146</v>
      </c>
      <c r="B67" s="23" t="s">
        <v>150</v>
      </c>
      <c r="C67" s="23" t="s">
        <v>142</v>
      </c>
      <c r="D67" s="30">
        <v>2.0</v>
      </c>
      <c r="E67" s="31"/>
      <c r="F67" s="23"/>
    </row>
    <row r="68" ht="18.75" customHeight="1">
      <c r="A68" s="29" t="s">
        <v>146</v>
      </c>
      <c r="B68" s="23" t="s">
        <v>150</v>
      </c>
      <c r="C68" s="23" t="s">
        <v>148</v>
      </c>
      <c r="D68" s="30">
        <v>0.0</v>
      </c>
      <c r="E68" s="31">
        <v>1.0</v>
      </c>
      <c r="F68" s="23" t="s">
        <v>149</v>
      </c>
    </row>
    <row r="69" ht="18.75" customHeight="1">
      <c r="A69" s="29" t="s">
        <v>146</v>
      </c>
      <c r="B69" s="23" t="s">
        <v>151</v>
      </c>
      <c r="C69" s="23" t="s">
        <v>142</v>
      </c>
      <c r="D69" s="30">
        <v>1.0</v>
      </c>
      <c r="E69" s="31"/>
      <c r="F69" s="23"/>
    </row>
    <row r="70" ht="18.75" customHeight="1">
      <c r="A70" s="29" t="s">
        <v>146</v>
      </c>
      <c r="B70" s="23" t="s">
        <v>151</v>
      </c>
      <c r="C70" s="23" t="s">
        <v>145</v>
      </c>
      <c r="D70" s="30">
        <v>30.0</v>
      </c>
      <c r="E70" s="31"/>
      <c r="F70" s="23"/>
    </row>
    <row r="71" ht="18.75" customHeight="1">
      <c r="A71" s="29" t="s">
        <v>146</v>
      </c>
      <c r="B71" s="23" t="s">
        <v>151</v>
      </c>
      <c r="C71" s="23" t="s">
        <v>148</v>
      </c>
      <c r="D71" s="30">
        <v>0.0</v>
      </c>
      <c r="E71" s="31">
        <v>1.0</v>
      </c>
      <c r="F71" s="23" t="s">
        <v>149</v>
      </c>
    </row>
    <row r="72" ht="18.75" customHeight="1">
      <c r="A72" s="29" t="s">
        <v>146</v>
      </c>
      <c r="B72" s="23" t="s">
        <v>152</v>
      </c>
      <c r="C72" s="23" t="s">
        <v>142</v>
      </c>
      <c r="D72" s="30">
        <v>2.0</v>
      </c>
      <c r="E72" s="31"/>
      <c r="F72" s="23"/>
    </row>
    <row r="73" ht="18.75" customHeight="1">
      <c r="A73" s="29" t="s">
        <v>146</v>
      </c>
      <c r="B73" s="23" t="s">
        <v>152</v>
      </c>
      <c r="C73" s="23" t="s">
        <v>148</v>
      </c>
      <c r="D73" s="30">
        <v>0.0</v>
      </c>
      <c r="E73" s="31">
        <v>1.0</v>
      </c>
      <c r="F73" s="23" t="s">
        <v>149</v>
      </c>
    </row>
    <row r="74" ht="18.75" customHeight="1">
      <c r="A74" s="29" t="s">
        <v>146</v>
      </c>
      <c r="B74" s="23" t="s">
        <v>153</v>
      </c>
      <c r="C74" s="23" t="s">
        <v>142</v>
      </c>
      <c r="D74" s="30">
        <v>1.0</v>
      </c>
      <c r="E74" s="31"/>
      <c r="F74" s="23"/>
    </row>
    <row r="75" ht="18.75" customHeight="1">
      <c r="A75" s="29" t="s">
        <v>146</v>
      </c>
      <c r="B75" s="23" t="s">
        <v>153</v>
      </c>
      <c r="C75" s="23" t="s">
        <v>145</v>
      </c>
      <c r="D75" s="30">
        <v>30.0</v>
      </c>
      <c r="E75" s="31"/>
      <c r="F75" s="23"/>
    </row>
    <row r="76" ht="18.75" customHeight="1">
      <c r="A76" s="29" t="s">
        <v>146</v>
      </c>
      <c r="B76" s="23" t="s">
        <v>153</v>
      </c>
      <c r="C76" s="23" t="s">
        <v>148</v>
      </c>
      <c r="D76" s="30">
        <v>0.0</v>
      </c>
      <c r="E76" s="31">
        <v>1.0</v>
      </c>
      <c r="F76" s="23" t="s">
        <v>149</v>
      </c>
    </row>
    <row r="77" ht="18.75" customHeight="1">
      <c r="A77" s="29" t="s">
        <v>146</v>
      </c>
      <c r="B77" s="23" t="s">
        <v>154</v>
      </c>
      <c r="C77" s="23" t="s">
        <v>142</v>
      </c>
      <c r="D77" s="30">
        <v>3.0</v>
      </c>
      <c r="E77" s="31"/>
      <c r="F77" s="23"/>
    </row>
    <row r="78" ht="18.75" customHeight="1">
      <c r="A78" s="29" t="s">
        <v>146</v>
      </c>
      <c r="B78" s="23" t="s">
        <v>154</v>
      </c>
      <c r="C78" s="23" t="s">
        <v>148</v>
      </c>
      <c r="D78" s="30">
        <v>0.0</v>
      </c>
      <c r="E78" s="31">
        <v>1.0</v>
      </c>
      <c r="F78" s="23" t="s">
        <v>149</v>
      </c>
    </row>
    <row r="79" ht="18.75" customHeight="1">
      <c r="A79" s="29" t="s">
        <v>155</v>
      </c>
      <c r="B79" s="23" t="s">
        <v>156</v>
      </c>
      <c r="C79" s="23" t="s">
        <v>142</v>
      </c>
      <c r="D79" s="30">
        <v>2.0</v>
      </c>
      <c r="E79" s="31"/>
      <c r="F79" s="23"/>
    </row>
    <row r="80" ht="18.75" customHeight="1">
      <c r="A80" s="29" t="s">
        <v>155</v>
      </c>
      <c r="B80" s="23" t="s">
        <v>156</v>
      </c>
      <c r="C80" s="23" t="s">
        <v>145</v>
      </c>
      <c r="D80" s="30">
        <v>30.0</v>
      </c>
      <c r="E80" s="31"/>
      <c r="F80" s="23"/>
    </row>
    <row r="81" ht="18.75" customHeight="1">
      <c r="A81" s="29" t="s">
        <v>155</v>
      </c>
      <c r="B81" s="23" t="s">
        <v>156</v>
      </c>
      <c r="C81" s="23" t="s">
        <v>148</v>
      </c>
      <c r="D81" s="30">
        <v>0.0</v>
      </c>
      <c r="E81" s="31">
        <v>1.0</v>
      </c>
      <c r="F81" s="23" t="s">
        <v>149</v>
      </c>
    </row>
    <row r="82" ht="18.75" customHeight="1">
      <c r="A82" s="29" t="s">
        <v>155</v>
      </c>
      <c r="B82" s="23" t="s">
        <v>157</v>
      </c>
      <c r="C82" s="23" t="s">
        <v>142</v>
      </c>
      <c r="D82" s="30">
        <v>2.0</v>
      </c>
      <c r="E82" s="31"/>
      <c r="F82" s="23"/>
    </row>
    <row r="83" ht="18.75" customHeight="1">
      <c r="A83" s="29" t="s">
        <v>155</v>
      </c>
      <c r="B83" s="23" t="s">
        <v>157</v>
      </c>
      <c r="C83" s="23" t="s">
        <v>148</v>
      </c>
      <c r="D83" s="30">
        <v>0.0</v>
      </c>
      <c r="E83" s="31">
        <v>1.0</v>
      </c>
      <c r="F83" s="23" t="s">
        <v>149</v>
      </c>
    </row>
    <row r="84" ht="18.75" customHeight="1">
      <c r="A84" s="29" t="s">
        <v>155</v>
      </c>
      <c r="B84" s="23" t="s">
        <v>158</v>
      </c>
      <c r="C84" s="23" t="s">
        <v>142</v>
      </c>
      <c r="D84" s="30">
        <v>1.0</v>
      </c>
      <c r="E84" s="31"/>
      <c r="F84" s="23"/>
    </row>
    <row r="85" ht="18.75" customHeight="1">
      <c r="A85" s="29" t="s">
        <v>155</v>
      </c>
      <c r="B85" s="23" t="s">
        <v>158</v>
      </c>
      <c r="C85" s="23" t="s">
        <v>145</v>
      </c>
      <c r="D85" s="30">
        <v>30.0</v>
      </c>
      <c r="E85" s="31"/>
      <c r="F85" s="23"/>
    </row>
    <row r="86" ht="18.75" customHeight="1">
      <c r="A86" s="29" t="s">
        <v>155</v>
      </c>
      <c r="B86" s="23" t="s">
        <v>158</v>
      </c>
      <c r="C86" s="23" t="s">
        <v>148</v>
      </c>
      <c r="D86" s="30">
        <v>0.0</v>
      </c>
      <c r="E86" s="31">
        <v>1.0</v>
      </c>
      <c r="F86" s="23" t="s">
        <v>149</v>
      </c>
    </row>
    <row r="87" ht="18.75" customHeight="1">
      <c r="A87" s="29" t="s">
        <v>155</v>
      </c>
      <c r="B87" s="23" t="s">
        <v>159</v>
      </c>
      <c r="C87" s="23" t="s">
        <v>142</v>
      </c>
      <c r="D87" s="30">
        <v>4.0</v>
      </c>
      <c r="E87" s="31"/>
      <c r="F87" s="23"/>
    </row>
    <row r="88" ht="18.75" customHeight="1">
      <c r="A88" s="29" t="s">
        <v>155</v>
      </c>
      <c r="B88" s="23" t="s">
        <v>159</v>
      </c>
      <c r="C88" s="23" t="s">
        <v>148</v>
      </c>
      <c r="D88" s="30">
        <v>0.0</v>
      </c>
      <c r="E88" s="31">
        <v>1.0</v>
      </c>
      <c r="F88" s="23" t="s">
        <v>149</v>
      </c>
    </row>
    <row r="89" ht="18.75" customHeight="1">
      <c r="A89" s="29" t="s">
        <v>160</v>
      </c>
      <c r="B89" s="23" t="s">
        <v>161</v>
      </c>
      <c r="C89" s="23" t="s">
        <v>162</v>
      </c>
      <c r="D89" s="30">
        <v>0.0</v>
      </c>
      <c r="E89" s="31">
        <v>1.0</v>
      </c>
      <c r="F89" s="23" t="s">
        <v>149</v>
      </c>
    </row>
    <row r="90" ht="18.75" customHeight="1">
      <c r="A90" s="29" t="s">
        <v>163</v>
      </c>
      <c r="B90" s="23" t="s">
        <v>164</v>
      </c>
      <c r="C90" s="23" t="s">
        <v>142</v>
      </c>
      <c r="D90" s="30">
        <v>1.0</v>
      </c>
      <c r="E90" s="31"/>
      <c r="F90" s="23"/>
    </row>
    <row r="91" ht="18.75" customHeight="1">
      <c r="A91" s="29" t="s">
        <v>163</v>
      </c>
      <c r="B91" s="23" t="s">
        <v>165</v>
      </c>
      <c r="C91" s="23" t="s">
        <v>142</v>
      </c>
      <c r="D91" s="30">
        <v>1.0</v>
      </c>
      <c r="E91" s="31"/>
      <c r="F91" s="23"/>
    </row>
    <row r="92" ht="18.75" customHeight="1">
      <c r="A92" s="29" t="s">
        <v>163</v>
      </c>
      <c r="B92" s="23" t="s">
        <v>123</v>
      </c>
      <c r="C92" s="23" t="s">
        <v>145</v>
      </c>
      <c r="D92" s="30">
        <v>15.0</v>
      </c>
      <c r="E92" s="31"/>
      <c r="F92" s="23"/>
    </row>
    <row r="93" ht="18.75" customHeight="1">
      <c r="A93" s="29" t="s">
        <v>163</v>
      </c>
      <c r="B93" s="23" t="s">
        <v>165</v>
      </c>
      <c r="C93" s="23" t="s">
        <v>148</v>
      </c>
      <c r="D93" s="30">
        <v>0.0</v>
      </c>
      <c r="E93" s="31">
        <v>1.0</v>
      </c>
      <c r="F93" s="23" t="s">
        <v>149</v>
      </c>
    </row>
    <row r="94" ht="18.75" customHeight="1">
      <c r="A94" s="29" t="s">
        <v>163</v>
      </c>
      <c r="B94" s="23" t="s">
        <v>166</v>
      </c>
      <c r="C94" s="23" t="s">
        <v>142</v>
      </c>
      <c r="D94" s="30">
        <v>3.0</v>
      </c>
      <c r="E94" s="31"/>
      <c r="F94" s="23"/>
    </row>
    <row r="95" ht="18.75" customHeight="1">
      <c r="A95" s="29" t="s">
        <v>163</v>
      </c>
      <c r="B95" s="23" t="s">
        <v>166</v>
      </c>
      <c r="C95" s="23" t="s">
        <v>148</v>
      </c>
      <c r="D95" s="30">
        <v>0.0</v>
      </c>
      <c r="E95" s="31">
        <v>1.0</v>
      </c>
      <c r="F95" s="23" t="s">
        <v>149</v>
      </c>
    </row>
    <row r="96" ht="18.75" customHeight="1">
      <c r="A96" s="29" t="s">
        <v>163</v>
      </c>
      <c r="B96" s="23" t="s">
        <v>167</v>
      </c>
      <c r="C96" s="23" t="s">
        <v>142</v>
      </c>
      <c r="D96" s="30">
        <v>1.0</v>
      </c>
      <c r="E96" s="31"/>
      <c r="F96" s="23"/>
    </row>
    <row r="97" ht="18.75" customHeight="1"/>
    <row r="98" ht="18.75" customHeight="1"/>
    <row r="99" ht="18.75" customHeight="1"/>
    <row r="100" ht="18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P1"/>
    <mergeCell ref="A2:P2"/>
    <mergeCell ref="A3:C3"/>
    <mergeCell ref="E3:H3"/>
    <mergeCell ref="J22:P22"/>
    <mergeCell ref="A25:H25"/>
    <mergeCell ref="A60:H60"/>
    <mergeCell ref="H62:P66"/>
  </mergeCells>
  <conditionalFormatting sqref="F17">
    <cfRule type="expression" dxfId="0" priority="1">
      <formula>F17&gt;0</formula>
    </cfRule>
  </conditionalFormatting>
  <conditionalFormatting sqref="F17">
    <cfRule type="expression" dxfId="1" priority="2">
      <formula>F17&lt;0</formula>
    </cfRule>
  </conditionalFormatting>
  <conditionalFormatting sqref="F22">
    <cfRule type="expression" dxfId="1" priority="3">
      <formula>LEFT(F22,5)="ERROR"</formula>
    </cfRule>
  </conditionalFormatting>
  <conditionalFormatting sqref="F22">
    <cfRule type="expression" dxfId="2" priority="4">
      <formula>LEFT(F22,7)="WARNING"</formula>
    </cfRule>
  </conditionalFormatting>
  <conditionalFormatting sqref="F22">
    <cfRule type="expression" dxfId="0" priority="5">
      <formula>F22="SETUP OK"</formula>
    </cfRule>
  </conditionalFormatting>
  <conditionalFormatting sqref="G27:G57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H27:H57">
    <cfRule type="expression" dxfId="3" priority="7">
      <formula>H27="PROFIT"</formula>
    </cfRule>
  </conditionalFormatting>
  <conditionalFormatting sqref="H27:H57">
    <cfRule type="expression" dxfId="4" priority="8">
      <formula>H27="LOSS"</formula>
    </cfRule>
  </conditionalFormatting>
  <conditionalFormatting sqref="F62:F96">
    <cfRule type="expression" dxfId="3" priority="9">
      <formula>F62="Completed"</formula>
    </cfRule>
  </conditionalFormatting>
  <conditionalFormatting sqref="F62:F96">
    <cfRule type="expression" dxfId="5" priority="10">
      <formula>F62="In Progress"</formula>
    </cfRule>
  </conditionalFormatting>
  <dataValidations>
    <dataValidation type="list" allowBlank="1" sqref="B19">
      <formula1>"Expected to Rise,Expected to Fall,Uncertain"</formula1>
    </dataValidation>
    <dataValidation type="list" allowBlank="1" sqref="B4">
      <formula1>"Long Call,Short Put,Covered Call,Long Put,Covered Put,Short Straddle,Short Strangle"</formula1>
    </dataValidation>
    <dataValidation type="list" allowBlank="1" sqref="F62:F96">
      <formula1>"Not Started,In Progress,Completed"</formula1>
    </dataValidation>
  </dataValidations>
  <printOptions/>
  <pageMargins bottom="0.75" footer="0.0" header="0.0" left="0.7" right="0.7" top="0.75"/>
  <pageSetup orientation="landscape"/>
  <drawing r:id="rId1"/>
</worksheet>
</file>