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 Straddle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<sst xmlns="http://schemas.openxmlformats.org/spreadsheetml/2006/main" count="81" uniqueCount="80">
  <si>
    <t xml:space="preserve">LONG STRADDLE CALCULATOR — BUY CALL + BUY PUT</t>
  </si>
  <si>
    <t xml:space="preserve">Buy one call and one put with the same strike price and expiration date. Blue cells are editable inputs.</t>
  </si>
  <si>
    <t xml:space="preserve">EDITABLE TRADE INPUTS</t>
  </si>
  <si>
    <t xml:space="preserve">AUTOMATIC STRATEGY RESULTS</t>
  </si>
  <si>
    <t xml:space="preserve">Underlying Symbol</t>
  </si>
  <si>
    <t xml:space="preserve">XYZ</t>
  </si>
  <si>
    <t xml:space="preserve">User-editable symbol</t>
  </si>
  <si>
    <t xml:space="preserve">Combined Premium ($/share)</t>
  </si>
  <si>
    <t xml:space="preserve">Call premium + put premium</t>
  </si>
  <si>
    <t xml:space="preserve">Stock Price at Entry ($)</t>
  </si>
  <si>
    <t xml:space="preserve">Current share price when entering the trade</t>
  </si>
  <si>
    <t xml:space="preserve">Total Debit / Cost ($)</t>
  </si>
  <si>
    <t xml:space="preserve">Maximum loss, including fees</t>
  </si>
  <si>
    <t xml:space="preserve">Strike Price ($)</t>
  </si>
  <si>
    <t xml:space="preserve">Same strike for the call and put</t>
  </si>
  <si>
    <t xml:space="preserve">Lower Breakeven ($)</t>
  </si>
  <si>
    <t xml:space="preserve">Strike − combined premium</t>
  </si>
  <si>
    <t xml:space="preserve">Call Premium Paid ($/share)</t>
  </si>
  <si>
    <t xml:space="preserve">Price paid for the call</t>
  </si>
  <si>
    <t xml:space="preserve">Upper Breakeven ($)</t>
  </si>
  <si>
    <t xml:space="preserve">Strike + combined premium</t>
  </si>
  <si>
    <t xml:space="preserve">Put Premium Paid ($/share)</t>
  </si>
  <si>
    <t xml:space="preserve">Price paid for the put</t>
  </si>
  <si>
    <t xml:space="preserve">Call Intrinsic Value ($/share)</t>
  </si>
  <si>
    <t xml:space="preserve">MAX(expiration price − strike, 0)</t>
  </si>
  <si>
    <t xml:space="preserve">Number of Straddles</t>
  </si>
  <si>
    <t xml:space="preserve">One straddle = one call contract + one put contract</t>
  </si>
  <si>
    <t xml:space="preserve">Put Intrinsic Value ($/share)</t>
  </si>
  <si>
    <t xml:space="preserve">MAX(strike − expiration price, 0)</t>
  </si>
  <si>
    <t xml:space="preserve">Shares per Contract</t>
  </si>
  <si>
    <t xml:space="preserve">Standard U.S. equity option multiplier</t>
  </si>
  <si>
    <t xml:space="preserve">Combined Value at Expiration ($/share)</t>
  </si>
  <si>
    <t xml:space="preserve">Call value + put value</t>
  </si>
  <si>
    <t xml:space="preserve">Expiration Date</t>
  </si>
  <si>
    <t xml:space="preserve">Same expiration for both option legs</t>
  </si>
  <si>
    <t xml:space="preserve">Gross Profit / Loss ($)</t>
  </si>
  <si>
    <t xml:space="preserve">Before fees</t>
  </si>
  <si>
    <t xml:space="preserve">Days to Expiration</t>
  </si>
  <si>
    <t xml:space="preserve">Automatically calculated from the expiration date</t>
  </si>
  <si>
    <t xml:space="preserve">Net Profit / Loss ($)</t>
  </si>
  <si>
    <t xml:space="preserve">After fees</t>
  </si>
  <si>
    <t xml:space="preserve">Stock Price at Expiration ($)</t>
  </si>
  <si>
    <t xml:space="preserve">Change this input to test a specific outcome</t>
  </si>
  <si>
    <t xml:space="preserve">Return on Debit (%)</t>
  </si>
  <si>
    <t xml:space="preserve">Net P/L ÷ total debit</t>
  </si>
  <si>
    <t xml:space="preserve">Fees &amp; Commissions ($)</t>
  </si>
  <si>
    <t xml:space="preserve">Total estimated opening and closing costs</t>
  </si>
  <si>
    <t xml:space="preserve">Expiration Result</t>
  </si>
  <si>
    <t xml:space="preserve">Profit, breakeven, or loss</t>
  </si>
  <si>
    <t xml:space="preserve">Implied Volatility Outlook</t>
  </si>
  <si>
    <t xml:space="preserve">Expected to Rise</t>
  </si>
  <si>
    <t xml:space="preserve">Rising volatility generally helps a long straddle</t>
  </si>
  <si>
    <t xml:space="preserve">Maximum Profit</t>
  </si>
  <si>
    <t xml:space="preserve">Unlimited upside; substantial downside potential</t>
  </si>
  <si>
    <t xml:space="preserve">Scenario Low (% of Strike)</t>
  </si>
  <si>
    <t xml:space="preserve">Lowest price shown in the payoff table</t>
  </si>
  <si>
    <t xml:space="preserve">Maximum Loss ($)</t>
  </si>
  <si>
    <t xml:space="preserve">Limited to total debit</t>
  </si>
  <si>
    <t xml:space="preserve">Scenario High (% of Strike)</t>
  </si>
  <si>
    <t xml:space="preserve">Highest price shown in the payoff table</t>
  </si>
  <si>
    <t xml:space="preserve">Best Market Outlook</t>
  </si>
  <si>
    <t xml:space="preserve">A large move in either direction</t>
  </si>
  <si>
    <t xml:space="preserve">Scenario Intervals</t>
  </si>
  <si>
    <t xml:space="preserve">Creates intervals + 1 payoff points</t>
  </si>
  <si>
    <t xml:space="preserve">Time Decay Effect</t>
  </si>
  <si>
    <t xml:space="preserve">Hurts the position</t>
  </si>
  <si>
    <t xml:space="preserve">EXPIRATION PAYOFF TABLE</t>
  </si>
  <si>
    <t xml:space="preserve">Prices scale automatically with Strike Price, Scenario Low/High %, and Scenario Intervals above. Rows beyond the chosen interval count are left blank.</t>
  </si>
  <si>
    <t xml:space="preserve">Stock at Expiration ($)</t>
  </si>
  <si>
    <t xml:space="preserve">Call Intrinsic ($/share)</t>
  </si>
  <si>
    <t xml:space="preserve">Put Intrinsic ($/share)</t>
  </si>
  <si>
    <t xml:space="preserve">Combined Value ($/share)</t>
  </si>
  <si>
    <t xml:space="preserve">Net P/L ($/share)</t>
  </si>
  <si>
    <t xml:space="preserve">Total Net P/L ($)</t>
  </si>
  <si>
    <t xml:space="preserve">ASSUMPTIONS &amp; NOTES</t>
  </si>
  <si>
    <t xml:space="preserve">• All example figures (symbol, prices, premiums, dates) are illustrative placeholders entered by the user — replace the blue cells with your own trade data.</t>
  </si>
  <si>
    <t xml:space="preserve">• This model values each leg at expiration using intrinsic value only (MAX formulas); it does not price the options before expiration (no Black-Scholes / time-value estimate).</t>
  </si>
  <si>
    <t xml:space="preserve">• "Number of Straddles" scales both the call and put legs equally, consistent with a standard long straddle (1 call + 1 put per straddle).</t>
  </si>
  <si>
    <t xml:space="preserve">• Fees &amp; Commissions are treated as a single total figure applied once to the overall position, not per contract.</t>
  </si>
  <si>
    <t xml:space="preserve">• The payoff table supports up to 40 scenario intervals; increase 'Scenario Intervals' beyond 40 and additional rows will need to be added manually.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</si>
</sst>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te&quot;xt&quot;"/>
    <numFmt numFmtId="166" formatCode="\$#,##0.00;&quot;($&quot;#,##0.00\);\-"/>
    <numFmt numFmtId="167" formatCode="\$#,##0;&quot;($&quot;#,##0\);\-"/>
    <numFmt numFmtId="168" formatCode="0"/>
    <numFmt numFmtId="169" formatCode="mm/dd/yyyy"/>
    <numFmt numFmtId="170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Long Straddle Payoff at Expiration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'Long Straddle Calculator'!G24</c:f>
              <c:strCache>
                <c:ptCount val="1"/>
                <c:pt idx="0">
                  <c:v>Total Net P/L ($)</c:v>
                </c:pt>
              </c:strCache>
            </c:strRef>
          </c:tx>
          <c:spPr>
            <a:solidFill>
              <a:srgbClr val="1f4e78"/>
            </a:solidFill>
            <a:ln w="2484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'Long Straddle Calculator'!$B$25:$B$65</c:f>
              <c:strCache>
                <c:ptCount val="41"/>
                <c:pt idx="0">
                  <c:v>$25.00</c:v>
                </c:pt>
                <c:pt idx="1">
                  <c:v>$27.50</c:v>
                </c:pt>
                <c:pt idx="2">
                  <c:v>$30.00</c:v>
                </c:pt>
                <c:pt idx="3">
                  <c:v>$32.50</c:v>
                </c:pt>
                <c:pt idx="4">
                  <c:v>$35.00</c:v>
                </c:pt>
                <c:pt idx="5">
                  <c:v>$37.50</c:v>
                </c:pt>
                <c:pt idx="6">
                  <c:v>$40.00</c:v>
                </c:pt>
                <c:pt idx="7">
                  <c:v>$42.50</c:v>
                </c:pt>
                <c:pt idx="8">
                  <c:v>$45.00</c:v>
                </c:pt>
                <c:pt idx="9">
                  <c:v>$47.50</c:v>
                </c:pt>
                <c:pt idx="10">
                  <c:v>$50.00</c:v>
                </c:pt>
                <c:pt idx="11">
                  <c:v>$52.50</c:v>
                </c:pt>
                <c:pt idx="12">
                  <c:v>$55.00</c:v>
                </c:pt>
                <c:pt idx="13">
                  <c:v>$57.50</c:v>
                </c:pt>
                <c:pt idx="14">
                  <c:v>$60.00</c:v>
                </c:pt>
                <c:pt idx="15">
                  <c:v>$62.50</c:v>
                </c:pt>
                <c:pt idx="16">
                  <c:v>$65.00</c:v>
                </c:pt>
                <c:pt idx="17">
                  <c:v>$67.50</c:v>
                </c:pt>
                <c:pt idx="18">
                  <c:v>$70.00</c:v>
                </c:pt>
                <c:pt idx="19">
                  <c:v>$72.50</c:v>
                </c:pt>
                <c:pt idx="20">
                  <c:v>$75.00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</c:strCache>
            </c:strRef>
          </c:cat>
          <c:val>
            <c:numRef>
              <c:f>'Long Straddle Calculator'!$G$25:$G$65</c:f>
              <c:numCache>
                <c:formatCode>\$#,##0;"($"#,##0\);\-</c:formatCode>
                <c:ptCount val="41"/>
                <c:pt idx="0">
                  <c:v>2000</c:v>
                </c:pt>
                <c:pt idx="1">
                  <c:v>1750</c:v>
                </c:pt>
                <c:pt idx="2">
                  <c:v>1500</c:v>
                </c:pt>
                <c:pt idx="3">
                  <c:v>1250</c:v>
                </c:pt>
                <c:pt idx="4">
                  <c:v>1000</c:v>
                </c:pt>
                <c:pt idx="5">
                  <c:v>750</c:v>
                </c:pt>
                <c:pt idx="6">
                  <c:v>500</c:v>
                </c:pt>
                <c:pt idx="7">
                  <c:v>250</c:v>
                </c:pt>
                <c:pt idx="8">
                  <c:v>0</c:v>
                </c:pt>
                <c:pt idx="9">
                  <c:v>-250</c:v>
                </c:pt>
                <c:pt idx="10">
                  <c:v>-500</c:v>
                </c:pt>
                <c:pt idx="11">
                  <c:v>-250</c:v>
                </c:pt>
                <c:pt idx="12">
                  <c:v>0</c:v>
                </c:pt>
                <c:pt idx="13">
                  <c:v>250</c:v>
                </c:pt>
                <c:pt idx="14">
                  <c:v>500</c:v>
                </c:pt>
                <c:pt idx="15">
                  <c:v>750</c:v>
                </c:pt>
                <c:pt idx="16">
                  <c:v>1000</c:v>
                </c:pt>
                <c:pt idx="17">
                  <c:v>1250</c:v>
                </c:pt>
                <c:pt idx="18">
                  <c:v>1500</c:v>
                </c:pt>
                <c:pt idx="19">
                  <c:v>1750</c:v>
                </c:pt>
                <c:pt idx="20">
                  <c:v>2000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241607"/>
        <c:axId val="11849473"/>
      </c:lineChart>
      <c:catAx>
        <c:axId val="18241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 Price at Expiration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49473"/>
        <c:crosses val="autoZero"/>
        <c:auto val="1"/>
        <c:lblAlgn val="ctr"/>
        <c:lblOffset val="100"/>
        <c:noMultiLvlLbl val="0"/>
      </c:catAx>
      <c:valAx>
        <c:axId val="11849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Net P/L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41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16</xdr:row>
      <xdr:rowOff>69840</xdr:rowOff>
    </xdr:from>
    <xdr:to>
      <xdr:col>21</xdr:col>
      <xdr:colOff>581760</xdr:colOff>
      <xdr:row>28</xdr:row>
      <xdr:rowOff>124560</xdr:rowOff>
    </xdr:to>
    <xdr:graphicFrame>
      <xdr:nvGraphicFramePr>
        <xdr:cNvPr id="0" name="Chart 1"/>
        <xdr:cNvGraphicFramePr/>
      </xdr:nvGraphicFramePr>
      <xdr:xfrm>
        <a:off x="11748240" y="4172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false" showRowColHeaders="true" showZeros="true" rightToLeft="false" tabSelected="true" showOutlineSymbols="true" defaultGridColor="true" view="normal" topLeftCell="A25" colorId="64" zoomScale="100" zoomScaleNormal="100" zoomScalePageLayoutView="100" workbookViewId="0">
      <pane xSplit="1" ySplit="0" topLeftCell="B25" activePane="topRight" state="frozen"/>
      <selection pane="topLeft" activeCell="A25" activeCellId="0" sqref="A25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  <c r="C4" s="3"/>
      <c r="D4" s="3"/>
      <c r="F4" s="3" t="s">
        <v>3</v>
      </c>
      <c r="G4" s="3"/>
      <c r="H4" s="3"/>
    </row>
    <row r="5" customFormat="false" ht="15" hidden="false" customHeight="false" outlineLevel="0" collapsed="false">
      <c r="B5" s="4" t="s">
        <v>4</v>
      </c>
      <c r="C5" s="5" t="s">
        <v>5</v>
      </c>
      <c r="D5" s="6" t="s">
        <v>6</v>
      </c>
      <c r="F5" s="7" t="s">
        <v>7</v>
      </c>
      <c r="G5" s="8" t="n">
        <f aca="false">C8+C9</f>
        <v>5</v>
      </c>
      <c r="H5" s="6" t="s">
        <v>8</v>
      </c>
    </row>
    <row r="6" customFormat="false" ht="22.35" hidden="false" customHeight="false" outlineLevel="0" collapsed="false">
      <c r="B6" s="4" t="s">
        <v>9</v>
      </c>
      <c r="C6" s="9" t="n">
        <v>50</v>
      </c>
      <c r="D6" s="6" t="s">
        <v>10</v>
      </c>
      <c r="F6" s="7" t="s">
        <v>11</v>
      </c>
      <c r="G6" s="10" t="n">
        <f aca="false">((C8+C9)*C11*C10)+C15</f>
        <v>500</v>
      </c>
      <c r="H6" s="6" t="s">
        <v>12</v>
      </c>
    </row>
    <row r="7" customFormat="false" ht="15" hidden="false" customHeight="false" outlineLevel="0" collapsed="false">
      <c r="B7" s="4" t="s">
        <v>13</v>
      </c>
      <c r="C7" s="9" t="n">
        <v>50</v>
      </c>
      <c r="D7" s="6" t="s">
        <v>14</v>
      </c>
      <c r="F7" s="7" t="s">
        <v>15</v>
      </c>
      <c r="G7" s="8" t="n">
        <f aca="false">C7-(C8+C9)</f>
        <v>45</v>
      </c>
      <c r="H7" s="6" t="s">
        <v>16</v>
      </c>
    </row>
    <row r="8" customFormat="false" ht="15" hidden="false" customHeight="false" outlineLevel="0" collapsed="false">
      <c r="B8" s="4" t="s">
        <v>17</v>
      </c>
      <c r="C8" s="9" t="n">
        <v>3</v>
      </c>
      <c r="D8" s="6" t="s">
        <v>18</v>
      </c>
      <c r="F8" s="7" t="s">
        <v>19</v>
      </c>
      <c r="G8" s="8" t="n">
        <f aca="false">C7+(C8+C9)</f>
        <v>55</v>
      </c>
      <c r="H8" s="6" t="s">
        <v>20</v>
      </c>
    </row>
    <row r="9" customFormat="false" ht="15" hidden="false" customHeight="false" outlineLevel="0" collapsed="false">
      <c r="B9" s="4" t="s">
        <v>21</v>
      </c>
      <c r="C9" s="9" t="n">
        <v>2</v>
      </c>
      <c r="D9" s="6" t="s">
        <v>22</v>
      </c>
      <c r="F9" s="7" t="s">
        <v>23</v>
      </c>
      <c r="G9" s="8" t="n">
        <f aca="false">MAX(C14-C7,0)</f>
        <v>10</v>
      </c>
      <c r="H9" s="6" t="s">
        <v>24</v>
      </c>
    </row>
    <row r="10" customFormat="false" ht="22.35" hidden="false" customHeight="false" outlineLevel="0" collapsed="false">
      <c r="B10" s="4" t="s">
        <v>25</v>
      </c>
      <c r="C10" s="11" t="n">
        <v>1</v>
      </c>
      <c r="D10" s="6" t="s">
        <v>26</v>
      </c>
      <c r="F10" s="7" t="s">
        <v>27</v>
      </c>
      <c r="G10" s="8" t="n">
        <f aca="false">MAX(C7-C14,0)</f>
        <v>0</v>
      </c>
      <c r="H10" s="6" t="s">
        <v>28</v>
      </c>
    </row>
    <row r="11" customFormat="false" ht="23.85" hidden="false" customHeight="false" outlineLevel="0" collapsed="false">
      <c r="B11" s="4" t="s">
        <v>29</v>
      </c>
      <c r="C11" s="11" t="n">
        <v>100</v>
      </c>
      <c r="D11" s="6" t="s">
        <v>30</v>
      </c>
      <c r="F11" s="7" t="s">
        <v>31</v>
      </c>
      <c r="G11" s="8" t="n">
        <f aca="false">G9+G10</f>
        <v>10</v>
      </c>
      <c r="H11" s="6" t="s">
        <v>32</v>
      </c>
    </row>
    <row r="12" customFormat="false" ht="15" hidden="false" customHeight="false" outlineLevel="0" collapsed="false">
      <c r="B12" s="4" t="s">
        <v>33</v>
      </c>
      <c r="C12" s="12" t="n">
        <v>46283</v>
      </c>
      <c r="D12" s="6" t="s">
        <v>34</v>
      </c>
      <c r="F12" s="7" t="s">
        <v>35</v>
      </c>
      <c r="G12" s="10" t="n">
        <f aca="false">(G11-G5)*C11*C10</f>
        <v>500</v>
      </c>
      <c r="H12" s="6" t="s">
        <v>36</v>
      </c>
    </row>
    <row r="13" customFormat="false" ht="22.35" hidden="false" customHeight="false" outlineLevel="0" collapsed="false">
      <c r="B13" s="4" t="s">
        <v>37</v>
      </c>
      <c r="C13" s="13" t="n">
        <f aca="true">C12-TODAY()</f>
        <v>59</v>
      </c>
      <c r="D13" s="6" t="s">
        <v>38</v>
      </c>
      <c r="F13" s="7" t="s">
        <v>39</v>
      </c>
      <c r="G13" s="10" t="n">
        <f aca="false">G12-C15</f>
        <v>500</v>
      </c>
      <c r="H13" s="6" t="s">
        <v>40</v>
      </c>
    </row>
    <row r="14" customFormat="false" ht="22.35" hidden="false" customHeight="false" outlineLevel="0" collapsed="false">
      <c r="B14" s="4" t="s">
        <v>41</v>
      </c>
      <c r="C14" s="9" t="n">
        <v>60</v>
      </c>
      <c r="D14" s="6" t="s">
        <v>42</v>
      </c>
      <c r="F14" s="7" t="s">
        <v>43</v>
      </c>
      <c r="G14" s="14" t="n">
        <f aca="false">IF(G6=0,"",G13/G6)</f>
        <v>1</v>
      </c>
      <c r="H14" s="6" t="s">
        <v>44</v>
      </c>
    </row>
    <row r="15" customFormat="false" ht="15" hidden="false" customHeight="false" outlineLevel="0" collapsed="false">
      <c r="B15" s="4" t="s">
        <v>45</v>
      </c>
      <c r="C15" s="9" t="n">
        <v>0</v>
      </c>
      <c r="D15" s="6" t="s">
        <v>46</v>
      </c>
      <c r="F15" s="7" t="s">
        <v>47</v>
      </c>
      <c r="G15" s="15" t="str">
        <f aca="false">IF(G13&gt;0,"PROFIT",IF(G13&lt;0,"LOSS","BREAKEVEN"))</f>
        <v>PROFIT</v>
      </c>
      <c r="H15" s="6" t="s">
        <v>48</v>
      </c>
    </row>
    <row r="16" customFormat="false" ht="46.25" hidden="false" customHeight="false" outlineLevel="0" collapsed="false">
      <c r="B16" s="4" t="s">
        <v>49</v>
      </c>
      <c r="C16" s="5" t="s">
        <v>50</v>
      </c>
      <c r="D16" s="6" t="s">
        <v>51</v>
      </c>
      <c r="F16" s="7" t="s">
        <v>52</v>
      </c>
      <c r="G16" s="15" t="str">
        <f aca="false">"Unlimited above "&amp;TEXT(G8,"$#,##0.00")&amp;"; downside gains increase below "&amp;TEXT(G7,"$#,##0.00")</f>
        <v>Unlimited above $55.00; downside gains increase below $45.00</v>
      </c>
      <c r="H16" s="6" t="s">
        <v>53</v>
      </c>
    </row>
    <row r="17" customFormat="false" ht="15" hidden="false" customHeight="false" outlineLevel="0" collapsed="false">
      <c r="B17" s="4" t="s">
        <v>54</v>
      </c>
      <c r="C17" s="16" t="n">
        <v>0.5</v>
      </c>
      <c r="D17" s="6" t="s">
        <v>55</v>
      </c>
      <c r="F17" s="7" t="s">
        <v>56</v>
      </c>
      <c r="G17" s="10" t="n">
        <f aca="false">G6</f>
        <v>500</v>
      </c>
      <c r="H17" s="6" t="s">
        <v>57</v>
      </c>
    </row>
    <row r="18" customFormat="false" ht="35.05" hidden="false" customHeight="false" outlineLevel="0" collapsed="false">
      <c r="B18" s="4" t="s">
        <v>58</v>
      </c>
      <c r="C18" s="16" t="n">
        <v>1.5</v>
      </c>
      <c r="D18" s="6" t="s">
        <v>59</v>
      </c>
      <c r="F18" s="7" t="s">
        <v>60</v>
      </c>
      <c r="G18" s="15" t="str">
        <f aca="false">"Large move above "&amp;TEXT(G8,"$#,##0.00")&amp;" or below "&amp;TEXT(G7,"$#,##0.00")</f>
        <v>Large move above $55.00 or below $45.00</v>
      </c>
      <c r="H18" s="6" t="s">
        <v>61</v>
      </c>
    </row>
    <row r="19" customFormat="false" ht="46.25" hidden="false" customHeight="false" outlineLevel="0" collapsed="false">
      <c r="B19" s="4" t="s">
        <v>62</v>
      </c>
      <c r="C19" s="11" t="n">
        <v>20</v>
      </c>
      <c r="D19" s="6" t="s">
        <v>63</v>
      </c>
      <c r="F19" s="7" t="s">
        <v>64</v>
      </c>
      <c r="G19" s="15" t="str">
        <f aca="false">"Negative — both purchased options lose time value"</f>
        <v>Negative — both purchased options lose time value</v>
      </c>
      <c r="H19" s="6" t="s">
        <v>65</v>
      </c>
    </row>
    <row r="22" customFormat="false" ht="19.5" hidden="false" customHeight="true" outlineLevel="0" collapsed="false">
      <c r="A22" s="3" t="s">
        <v>66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17" t="s">
        <v>67</v>
      </c>
      <c r="B23" s="17"/>
      <c r="C23" s="17"/>
      <c r="D23" s="17"/>
      <c r="E23" s="17"/>
      <c r="F23" s="17"/>
      <c r="G23" s="17"/>
      <c r="H23" s="17"/>
    </row>
    <row r="24" customFormat="false" ht="30" hidden="false" customHeight="true" outlineLevel="0" collapsed="false">
      <c r="B24" s="18" t="s">
        <v>68</v>
      </c>
      <c r="C24" s="18" t="s">
        <v>69</v>
      </c>
      <c r="D24" s="18" t="s">
        <v>70</v>
      </c>
      <c r="E24" s="18" t="s">
        <v>71</v>
      </c>
      <c r="F24" s="18" t="s">
        <v>72</v>
      </c>
      <c r="G24" s="18" t="s">
        <v>73</v>
      </c>
      <c r="H24" s="18" t="s">
        <v>43</v>
      </c>
    </row>
    <row r="25" customFormat="false" ht="15" hidden="false" customHeight="false" outlineLevel="0" collapsed="false">
      <c r="B25" s="19" t="n">
        <f aca="false">IF(0&gt;C19,"",C7*C17+0*(C7*C18-C7*C17)/C19)</f>
        <v>25</v>
      </c>
      <c r="C25" s="19" t="n">
        <f aca="false">IF(B25="","",MAX(B25-C7,0))</f>
        <v>0</v>
      </c>
      <c r="D25" s="19" t="n">
        <f aca="false">IF(B25="","",MAX(C7-B25,0))</f>
        <v>25</v>
      </c>
      <c r="E25" s="19" t="n">
        <f aca="false">IF(B25="","",C25+D25)</f>
        <v>25</v>
      </c>
      <c r="F25" s="19" t="n">
        <f aca="false">IF(B25="","",E25-G5)</f>
        <v>20</v>
      </c>
      <c r="G25" s="20" t="n">
        <f aca="false">IF(B25="","",(F25*C11*C10)-C15)</f>
        <v>2000</v>
      </c>
      <c r="H25" s="21" t="n">
        <f aca="false">IF(B25="","",IF(G6=0,"",G25/G6))</f>
        <v>4</v>
      </c>
    </row>
    <row r="26" customFormat="false" ht="15" hidden="false" customHeight="false" outlineLevel="0" collapsed="false">
      <c r="B26" s="22" t="n">
        <f aca="false">IF(1&gt;C19,"",C7*C17+1*(C7*C18-C7*C17)/C19)</f>
        <v>27.5</v>
      </c>
      <c r="C26" s="22" t="n">
        <f aca="false">IF(B26="","",MAX(B26-C7,0))</f>
        <v>0</v>
      </c>
      <c r="D26" s="22" t="n">
        <f aca="false">IF(B26="","",MAX(C7-B26,0))</f>
        <v>22.5</v>
      </c>
      <c r="E26" s="22" t="n">
        <f aca="false">IF(B26="","",C26+D26)</f>
        <v>22.5</v>
      </c>
      <c r="F26" s="22" t="n">
        <f aca="false">IF(B26="","",E26-G5)</f>
        <v>17.5</v>
      </c>
      <c r="G26" s="23" t="n">
        <f aca="false">IF(B26="","",(F26*C11*C10)-C15)</f>
        <v>1750</v>
      </c>
      <c r="H26" s="24" t="n">
        <f aca="false">IF(B26="","",IF(G6=0,"",G26/G6))</f>
        <v>3.5</v>
      </c>
    </row>
    <row r="27" customFormat="false" ht="15" hidden="false" customHeight="false" outlineLevel="0" collapsed="false">
      <c r="B27" s="19" t="n">
        <f aca="false">IF(2&gt;C19,"",C7*C17+2*(C7*C18-C7*C17)/C19)</f>
        <v>30</v>
      </c>
      <c r="C27" s="19" t="n">
        <f aca="false">IF(B27="","",MAX(B27-C7,0))</f>
        <v>0</v>
      </c>
      <c r="D27" s="19" t="n">
        <f aca="false">IF(B27="","",MAX(C7-B27,0))</f>
        <v>20</v>
      </c>
      <c r="E27" s="19" t="n">
        <f aca="false">IF(B27="","",C27+D27)</f>
        <v>20</v>
      </c>
      <c r="F27" s="19" t="n">
        <f aca="false">IF(B27="","",E27-G5)</f>
        <v>15</v>
      </c>
      <c r="G27" s="20" t="n">
        <f aca="false">IF(B27="","",(F27*C11*C10)-C15)</f>
        <v>1500</v>
      </c>
      <c r="H27" s="21" t="n">
        <f aca="false">IF(B27="","",IF(G6=0,"",G27/G6))</f>
        <v>3</v>
      </c>
    </row>
    <row r="28" customFormat="false" ht="15" hidden="false" customHeight="false" outlineLevel="0" collapsed="false">
      <c r="B28" s="22" t="n">
        <f aca="false">IF(3&gt;C19,"",C7*C17+3*(C7*C18-C7*C17)/C19)</f>
        <v>32.5</v>
      </c>
      <c r="C28" s="22" t="n">
        <f aca="false">IF(B28="","",MAX(B28-C7,0))</f>
        <v>0</v>
      </c>
      <c r="D28" s="22" t="n">
        <f aca="false">IF(B28="","",MAX(C7-B28,0))</f>
        <v>17.5</v>
      </c>
      <c r="E28" s="22" t="n">
        <f aca="false">IF(B28="","",C28+D28)</f>
        <v>17.5</v>
      </c>
      <c r="F28" s="22" t="n">
        <f aca="false">IF(B28="","",E28-G5)</f>
        <v>12.5</v>
      </c>
      <c r="G28" s="23" t="n">
        <f aca="false">IF(B28="","",(F28*C11*C10)-C15)</f>
        <v>1250</v>
      </c>
      <c r="H28" s="24" t="n">
        <f aca="false">IF(B28="","",IF(G6=0,"",G28/G6))</f>
        <v>2.5</v>
      </c>
    </row>
    <row r="29" customFormat="false" ht="15" hidden="false" customHeight="false" outlineLevel="0" collapsed="false">
      <c r="B29" s="19" t="n">
        <f aca="false">IF(4&gt;C19,"",C7*C17+4*(C7*C18-C7*C17)/C19)</f>
        <v>35</v>
      </c>
      <c r="C29" s="19" t="n">
        <f aca="false">IF(B29="","",MAX(B29-C7,0))</f>
        <v>0</v>
      </c>
      <c r="D29" s="19" t="n">
        <f aca="false">IF(B29="","",MAX(C7-B29,0))</f>
        <v>15</v>
      </c>
      <c r="E29" s="19" t="n">
        <f aca="false">IF(B29="","",C29+D29)</f>
        <v>15</v>
      </c>
      <c r="F29" s="19" t="n">
        <f aca="false">IF(B29="","",E29-G5)</f>
        <v>10</v>
      </c>
      <c r="G29" s="20" t="n">
        <f aca="false">IF(B29="","",(F29*C11*C10)-C15)</f>
        <v>1000</v>
      </c>
      <c r="H29" s="21" t="n">
        <f aca="false">IF(B29="","",IF(G6=0,"",G29/G6))</f>
        <v>2</v>
      </c>
    </row>
    <row r="30" customFormat="false" ht="15" hidden="false" customHeight="false" outlineLevel="0" collapsed="false">
      <c r="B30" s="22" t="n">
        <f aca="false">IF(5&gt;C19,"",C7*C17+5*(C7*C18-C7*C17)/C19)</f>
        <v>37.5</v>
      </c>
      <c r="C30" s="22" t="n">
        <f aca="false">IF(B30="","",MAX(B30-C7,0))</f>
        <v>0</v>
      </c>
      <c r="D30" s="22" t="n">
        <f aca="false">IF(B30="","",MAX(C7-B30,0))</f>
        <v>12.5</v>
      </c>
      <c r="E30" s="22" t="n">
        <f aca="false">IF(B30="","",C30+D30)</f>
        <v>12.5</v>
      </c>
      <c r="F30" s="22" t="n">
        <f aca="false">IF(B30="","",E30-G5)</f>
        <v>7.5</v>
      </c>
      <c r="G30" s="23" t="n">
        <f aca="false">IF(B30="","",(F30*C11*C10)-C15)</f>
        <v>750</v>
      </c>
      <c r="H30" s="24" t="n">
        <f aca="false">IF(B30="","",IF(G6=0,"",G30/G6))</f>
        <v>1.5</v>
      </c>
    </row>
    <row r="31" customFormat="false" ht="15" hidden="false" customHeight="false" outlineLevel="0" collapsed="false">
      <c r="B31" s="19" t="n">
        <f aca="false">IF(6&gt;C19,"",C7*C17+6*(C7*C18-C7*C17)/C19)</f>
        <v>40</v>
      </c>
      <c r="C31" s="19" t="n">
        <f aca="false">IF(B31="","",MAX(B31-C7,0))</f>
        <v>0</v>
      </c>
      <c r="D31" s="19" t="n">
        <f aca="false">IF(B31="","",MAX(C7-B31,0))</f>
        <v>10</v>
      </c>
      <c r="E31" s="19" t="n">
        <f aca="false">IF(B31="","",C31+D31)</f>
        <v>10</v>
      </c>
      <c r="F31" s="19" t="n">
        <f aca="false">IF(B31="","",E31-G5)</f>
        <v>5</v>
      </c>
      <c r="G31" s="20" t="n">
        <f aca="false">IF(B31="","",(F31*C11*C10)-C15)</f>
        <v>500</v>
      </c>
      <c r="H31" s="21" t="n">
        <f aca="false">IF(B31="","",IF(G6=0,"",G31/G6))</f>
        <v>1</v>
      </c>
    </row>
    <row r="32" customFormat="false" ht="15" hidden="false" customHeight="false" outlineLevel="0" collapsed="false">
      <c r="B32" s="22" t="n">
        <f aca="false">IF(7&gt;C19,"",C7*C17+7*(C7*C18-C7*C17)/C19)</f>
        <v>42.5</v>
      </c>
      <c r="C32" s="22" t="n">
        <f aca="false">IF(B32="","",MAX(B32-C7,0))</f>
        <v>0</v>
      </c>
      <c r="D32" s="22" t="n">
        <f aca="false">IF(B32="","",MAX(C7-B32,0))</f>
        <v>7.5</v>
      </c>
      <c r="E32" s="22" t="n">
        <f aca="false">IF(B32="","",C32+D32)</f>
        <v>7.5</v>
      </c>
      <c r="F32" s="22" t="n">
        <f aca="false">IF(B32="","",E32-G5)</f>
        <v>2.5</v>
      </c>
      <c r="G32" s="23" t="n">
        <f aca="false">IF(B32="","",(F32*C11*C10)-C15)</f>
        <v>250</v>
      </c>
      <c r="H32" s="24" t="n">
        <f aca="false">IF(B32="","",IF(G6=0,"",G32/G6))</f>
        <v>0.5</v>
      </c>
    </row>
    <row r="33" customFormat="false" ht="15" hidden="false" customHeight="false" outlineLevel="0" collapsed="false">
      <c r="B33" s="19" t="n">
        <f aca="false">IF(8&gt;C19,"",C7*C17+8*(C7*C18-C7*C17)/C19)</f>
        <v>45</v>
      </c>
      <c r="C33" s="19" t="n">
        <f aca="false">IF(B33="","",MAX(B33-C7,0))</f>
        <v>0</v>
      </c>
      <c r="D33" s="19" t="n">
        <f aca="false">IF(B33="","",MAX(C7-B33,0))</f>
        <v>5</v>
      </c>
      <c r="E33" s="19" t="n">
        <f aca="false">IF(B33="","",C33+D33)</f>
        <v>5</v>
      </c>
      <c r="F33" s="19" t="n">
        <f aca="false">IF(B33="","",E33-G5)</f>
        <v>0</v>
      </c>
      <c r="G33" s="20" t="n">
        <f aca="false">IF(B33="","",(F33*C11*C10)-C15)</f>
        <v>0</v>
      </c>
      <c r="H33" s="21" t="n">
        <f aca="false">IF(B33="","",IF(G6=0,"",G33/G6))</f>
        <v>0</v>
      </c>
    </row>
    <row r="34" customFormat="false" ht="15" hidden="false" customHeight="false" outlineLevel="0" collapsed="false">
      <c r="B34" s="22" t="n">
        <f aca="false">IF(9&gt;C19,"",C7*C17+9*(C7*C18-C7*C17)/C19)</f>
        <v>47.5</v>
      </c>
      <c r="C34" s="22" t="n">
        <f aca="false">IF(B34="","",MAX(B34-C7,0))</f>
        <v>0</v>
      </c>
      <c r="D34" s="22" t="n">
        <f aca="false">IF(B34="","",MAX(C7-B34,0))</f>
        <v>2.5</v>
      </c>
      <c r="E34" s="22" t="n">
        <f aca="false">IF(B34="","",C34+D34)</f>
        <v>2.5</v>
      </c>
      <c r="F34" s="22" t="n">
        <f aca="false">IF(B34="","",E34-G5)</f>
        <v>-2.5</v>
      </c>
      <c r="G34" s="23" t="n">
        <f aca="false">IF(B34="","",(F34*C11*C10)-C15)</f>
        <v>-250</v>
      </c>
      <c r="H34" s="24" t="n">
        <f aca="false">IF(B34="","",IF(G6=0,"",G34/G6))</f>
        <v>-0.5</v>
      </c>
    </row>
    <row r="35" customFormat="false" ht="15" hidden="false" customHeight="false" outlineLevel="0" collapsed="false">
      <c r="B35" s="19" t="n">
        <f aca="false">IF(10&gt;C19,"",C7*C17+10*(C7*C18-C7*C17)/C19)</f>
        <v>50</v>
      </c>
      <c r="C35" s="19" t="n">
        <f aca="false">IF(B35="","",MAX(B35-C7,0))</f>
        <v>0</v>
      </c>
      <c r="D35" s="19" t="n">
        <f aca="false">IF(B35="","",MAX(C7-B35,0))</f>
        <v>0</v>
      </c>
      <c r="E35" s="19" t="n">
        <f aca="false">IF(B35="","",C35+D35)</f>
        <v>0</v>
      </c>
      <c r="F35" s="19" t="n">
        <f aca="false">IF(B35="","",E35-G5)</f>
        <v>-5</v>
      </c>
      <c r="G35" s="20" t="n">
        <f aca="false">IF(B35="","",(F35*C11*C10)-C15)</f>
        <v>-500</v>
      </c>
      <c r="H35" s="21" t="n">
        <f aca="false">IF(B35="","",IF(G6=0,"",G35/G6))</f>
        <v>-1</v>
      </c>
    </row>
    <row r="36" customFormat="false" ht="15" hidden="false" customHeight="false" outlineLevel="0" collapsed="false">
      <c r="B36" s="22" t="n">
        <f aca="false">IF(11&gt;C19,"",C7*C17+11*(C7*C18-C7*C17)/C19)</f>
        <v>52.5</v>
      </c>
      <c r="C36" s="22" t="n">
        <f aca="false">IF(B36="","",MAX(B36-C7,0))</f>
        <v>2.5</v>
      </c>
      <c r="D36" s="22" t="n">
        <f aca="false">IF(B36="","",MAX(C7-B36,0))</f>
        <v>0</v>
      </c>
      <c r="E36" s="22" t="n">
        <f aca="false">IF(B36="","",C36+D36)</f>
        <v>2.5</v>
      </c>
      <c r="F36" s="22" t="n">
        <f aca="false">IF(B36="","",E36-G5)</f>
        <v>-2.5</v>
      </c>
      <c r="G36" s="23" t="n">
        <f aca="false">IF(B36="","",(F36*C11*C10)-C15)</f>
        <v>-250</v>
      </c>
      <c r="H36" s="24" t="n">
        <f aca="false">IF(B36="","",IF(G6=0,"",G36/G6))</f>
        <v>-0.5</v>
      </c>
    </row>
    <row r="37" customFormat="false" ht="15" hidden="false" customHeight="false" outlineLevel="0" collapsed="false">
      <c r="B37" s="19" t="n">
        <f aca="false">IF(12&gt;C19,"",C7*C17+12*(C7*C18-C7*C17)/C19)</f>
        <v>55</v>
      </c>
      <c r="C37" s="19" t="n">
        <f aca="false">IF(B37="","",MAX(B37-C7,0))</f>
        <v>5</v>
      </c>
      <c r="D37" s="19" t="n">
        <f aca="false">IF(B37="","",MAX(C7-B37,0))</f>
        <v>0</v>
      </c>
      <c r="E37" s="19" t="n">
        <f aca="false">IF(B37="","",C37+D37)</f>
        <v>5</v>
      </c>
      <c r="F37" s="19" t="n">
        <f aca="false">IF(B37="","",E37-G5)</f>
        <v>0</v>
      </c>
      <c r="G37" s="20" t="n">
        <f aca="false">IF(B37="","",(F37*C11*C10)-C15)</f>
        <v>0</v>
      </c>
      <c r="H37" s="21" t="n">
        <f aca="false">IF(B37="","",IF(G6=0,"",G37/G6))</f>
        <v>0</v>
      </c>
    </row>
    <row r="38" customFormat="false" ht="15" hidden="false" customHeight="false" outlineLevel="0" collapsed="false">
      <c r="B38" s="22" t="n">
        <f aca="false">IF(13&gt;C19,"",C7*C17+13*(C7*C18-C7*C17)/C19)</f>
        <v>57.5</v>
      </c>
      <c r="C38" s="22" t="n">
        <f aca="false">IF(B38="","",MAX(B38-C7,0))</f>
        <v>7.5</v>
      </c>
      <c r="D38" s="22" t="n">
        <f aca="false">IF(B38="","",MAX(C7-B38,0))</f>
        <v>0</v>
      </c>
      <c r="E38" s="22" t="n">
        <f aca="false">IF(B38="","",C38+D38)</f>
        <v>7.5</v>
      </c>
      <c r="F38" s="22" t="n">
        <f aca="false">IF(B38="","",E38-G5)</f>
        <v>2.5</v>
      </c>
      <c r="G38" s="23" t="n">
        <f aca="false">IF(B38="","",(F38*C11*C10)-C15)</f>
        <v>250</v>
      </c>
      <c r="H38" s="24" t="n">
        <f aca="false">IF(B38="","",IF(G6=0,"",G38/G6))</f>
        <v>0.5</v>
      </c>
    </row>
    <row r="39" customFormat="false" ht="15" hidden="false" customHeight="false" outlineLevel="0" collapsed="false">
      <c r="B39" s="19" t="n">
        <f aca="false">IF(14&gt;C19,"",C7*C17+14*(C7*C18-C7*C17)/C19)</f>
        <v>60</v>
      </c>
      <c r="C39" s="19" t="n">
        <f aca="false">IF(B39="","",MAX(B39-C7,0))</f>
        <v>10</v>
      </c>
      <c r="D39" s="19" t="n">
        <f aca="false">IF(B39="","",MAX(C7-B39,0))</f>
        <v>0</v>
      </c>
      <c r="E39" s="19" t="n">
        <f aca="false">IF(B39="","",C39+D39)</f>
        <v>10</v>
      </c>
      <c r="F39" s="19" t="n">
        <f aca="false">IF(B39="","",E39-G5)</f>
        <v>5</v>
      </c>
      <c r="G39" s="20" t="n">
        <f aca="false">IF(B39="","",(F39*C11*C10)-C15)</f>
        <v>500</v>
      </c>
      <c r="H39" s="21" t="n">
        <f aca="false">IF(B39="","",IF(G6=0,"",G39/G6))</f>
        <v>1</v>
      </c>
    </row>
    <row r="40" customFormat="false" ht="15" hidden="false" customHeight="false" outlineLevel="0" collapsed="false">
      <c r="B40" s="22" t="n">
        <f aca="false">IF(15&gt;C19,"",C7*C17+15*(C7*C18-C7*C17)/C19)</f>
        <v>62.5</v>
      </c>
      <c r="C40" s="22" t="n">
        <f aca="false">IF(B40="","",MAX(B40-C7,0))</f>
        <v>12.5</v>
      </c>
      <c r="D40" s="22" t="n">
        <f aca="false">IF(B40="","",MAX(C7-B40,0))</f>
        <v>0</v>
      </c>
      <c r="E40" s="22" t="n">
        <f aca="false">IF(B40="","",C40+D40)</f>
        <v>12.5</v>
      </c>
      <c r="F40" s="22" t="n">
        <f aca="false">IF(B40="","",E40-G5)</f>
        <v>7.5</v>
      </c>
      <c r="G40" s="23" t="n">
        <f aca="false">IF(B40="","",(F40*C11*C10)-C15)</f>
        <v>750</v>
      </c>
      <c r="H40" s="24" t="n">
        <f aca="false">IF(B40="","",IF(G6=0,"",G40/G6))</f>
        <v>1.5</v>
      </c>
    </row>
    <row r="41" customFormat="false" ht="15" hidden="false" customHeight="false" outlineLevel="0" collapsed="false">
      <c r="B41" s="19" t="n">
        <f aca="false">IF(16&gt;C19,"",C7*C17+16*(C7*C18-C7*C17)/C19)</f>
        <v>65</v>
      </c>
      <c r="C41" s="19" t="n">
        <f aca="false">IF(B41="","",MAX(B41-C7,0))</f>
        <v>15</v>
      </c>
      <c r="D41" s="19" t="n">
        <f aca="false">IF(B41="","",MAX(C7-B41,0))</f>
        <v>0</v>
      </c>
      <c r="E41" s="19" t="n">
        <f aca="false">IF(B41="","",C41+D41)</f>
        <v>15</v>
      </c>
      <c r="F41" s="19" t="n">
        <f aca="false">IF(B41="","",E41-G5)</f>
        <v>10</v>
      </c>
      <c r="G41" s="20" t="n">
        <f aca="false">IF(B41="","",(F41*C11*C10)-C15)</f>
        <v>1000</v>
      </c>
      <c r="H41" s="21" t="n">
        <f aca="false">IF(B41="","",IF(G6=0,"",G41/G6))</f>
        <v>2</v>
      </c>
    </row>
    <row r="42" customFormat="false" ht="15" hidden="false" customHeight="false" outlineLevel="0" collapsed="false">
      <c r="B42" s="22" t="n">
        <f aca="false">IF(17&gt;C19,"",C7*C17+17*(C7*C18-C7*C17)/C19)</f>
        <v>67.5</v>
      </c>
      <c r="C42" s="22" t="n">
        <f aca="false">IF(B42="","",MAX(B42-C7,0))</f>
        <v>17.5</v>
      </c>
      <c r="D42" s="22" t="n">
        <f aca="false">IF(B42="","",MAX(C7-B42,0))</f>
        <v>0</v>
      </c>
      <c r="E42" s="22" t="n">
        <f aca="false">IF(B42="","",C42+D42)</f>
        <v>17.5</v>
      </c>
      <c r="F42" s="22" t="n">
        <f aca="false">IF(B42="","",E42-G5)</f>
        <v>12.5</v>
      </c>
      <c r="G42" s="23" t="n">
        <f aca="false">IF(B42="","",(F42*C11*C10)-C15)</f>
        <v>1250</v>
      </c>
      <c r="H42" s="24" t="n">
        <f aca="false">IF(B42="","",IF(G6=0,"",G42/G6))</f>
        <v>2.5</v>
      </c>
    </row>
    <row r="43" customFormat="false" ht="15" hidden="false" customHeight="false" outlineLevel="0" collapsed="false">
      <c r="B43" s="19" t="n">
        <f aca="false">IF(18&gt;C19,"",C7*C17+18*(C7*C18-C7*C17)/C19)</f>
        <v>70</v>
      </c>
      <c r="C43" s="19" t="n">
        <f aca="false">IF(B43="","",MAX(B43-C7,0))</f>
        <v>20</v>
      </c>
      <c r="D43" s="19" t="n">
        <f aca="false">IF(B43="","",MAX(C7-B43,0))</f>
        <v>0</v>
      </c>
      <c r="E43" s="19" t="n">
        <f aca="false">IF(B43="","",C43+D43)</f>
        <v>20</v>
      </c>
      <c r="F43" s="19" t="n">
        <f aca="false">IF(B43="","",E43-G5)</f>
        <v>15</v>
      </c>
      <c r="G43" s="20" t="n">
        <f aca="false">IF(B43="","",(F43*C11*C10)-C15)</f>
        <v>1500</v>
      </c>
      <c r="H43" s="21" t="n">
        <f aca="false">IF(B43="","",IF(G6=0,"",G43/G6))</f>
        <v>3</v>
      </c>
    </row>
    <row r="44" customFormat="false" ht="15" hidden="false" customHeight="false" outlineLevel="0" collapsed="false">
      <c r="B44" s="22" t="n">
        <f aca="false">IF(19&gt;C19,"",C7*C17+19*(C7*C18-C7*C17)/C19)</f>
        <v>72.5</v>
      </c>
      <c r="C44" s="22" t="n">
        <f aca="false">IF(B44="","",MAX(B44-C7,0))</f>
        <v>22.5</v>
      </c>
      <c r="D44" s="22" t="n">
        <f aca="false">IF(B44="","",MAX(C7-B44,0))</f>
        <v>0</v>
      </c>
      <c r="E44" s="22" t="n">
        <f aca="false">IF(B44="","",C44+D44)</f>
        <v>22.5</v>
      </c>
      <c r="F44" s="22" t="n">
        <f aca="false">IF(B44="","",E44-G5)</f>
        <v>17.5</v>
      </c>
      <c r="G44" s="23" t="n">
        <f aca="false">IF(B44="","",(F44*C11*C10)-C15)</f>
        <v>1750</v>
      </c>
      <c r="H44" s="24" t="n">
        <f aca="false">IF(B44="","",IF(G6=0,"",G44/G6))</f>
        <v>3.5</v>
      </c>
    </row>
    <row r="45" customFormat="false" ht="15" hidden="false" customHeight="false" outlineLevel="0" collapsed="false">
      <c r="B45" s="19" t="n">
        <f aca="false">IF(20&gt;C19,"",C7*C17+20*(C7*C18-C7*C17)/C19)</f>
        <v>75</v>
      </c>
      <c r="C45" s="19" t="n">
        <f aca="false">IF(B45="","",MAX(B45-C7,0))</f>
        <v>25</v>
      </c>
      <c r="D45" s="19" t="n">
        <f aca="false">IF(B45="","",MAX(C7-B45,0))</f>
        <v>0</v>
      </c>
      <c r="E45" s="19" t="n">
        <f aca="false">IF(B45="","",C45+D45)</f>
        <v>25</v>
      </c>
      <c r="F45" s="19" t="n">
        <f aca="false">IF(B45="","",E45-G5)</f>
        <v>20</v>
      </c>
      <c r="G45" s="20" t="n">
        <f aca="false">IF(B45="","",(F45*C11*C10)-C15)</f>
        <v>2000</v>
      </c>
      <c r="H45" s="21" t="n">
        <f aca="false">IF(B45="","",IF(G6=0,"",G45/G6))</f>
        <v>4</v>
      </c>
    </row>
    <row r="46" customFormat="false" ht="15" hidden="false" customHeight="false" outlineLevel="0" collapsed="false">
      <c r="B46" s="22" t="str">
        <f aca="false">IF(21&gt;C19,"",C7*C17+21*(C7*C18-C7*C17)/C19)</f>
        <v/>
      </c>
      <c r="C46" s="22" t="str">
        <f aca="false">IF(B46="","",MAX(B46-C7,0))</f>
        <v/>
      </c>
      <c r="D46" s="22" t="str">
        <f aca="false">IF(B46="","",MAX(C7-B46,0))</f>
        <v/>
      </c>
      <c r="E46" s="22" t="str">
        <f aca="false">IF(B46="","",C46+D46)</f>
        <v/>
      </c>
      <c r="F46" s="22" t="str">
        <f aca="false">IF(B46="","",E46-G5)</f>
        <v/>
      </c>
      <c r="G46" s="23" t="str">
        <f aca="false">IF(B46="","",(F46*C11*C10)-C15)</f>
        <v/>
      </c>
      <c r="H46" s="24" t="str">
        <f aca="false">IF(B46="","",IF(G6=0,"",G46/G6))</f>
        <v/>
      </c>
    </row>
    <row r="47" customFormat="false" ht="15" hidden="false" customHeight="false" outlineLevel="0" collapsed="false">
      <c r="B47" s="19" t="str">
        <f aca="false">IF(22&gt;C19,"",C7*C17+22*(C7*C18-C7*C17)/C19)</f>
        <v/>
      </c>
      <c r="C47" s="19" t="str">
        <f aca="false">IF(B47="","",MAX(B47-C7,0))</f>
        <v/>
      </c>
      <c r="D47" s="19" t="str">
        <f aca="false">IF(B47="","",MAX(C7-B47,0))</f>
        <v/>
      </c>
      <c r="E47" s="19" t="str">
        <f aca="false">IF(B47="","",C47+D47)</f>
        <v/>
      </c>
      <c r="F47" s="19" t="str">
        <f aca="false">IF(B47="","",E47-G5)</f>
        <v/>
      </c>
      <c r="G47" s="20" t="str">
        <f aca="false">IF(B47="","",(F47*C11*C10)-C15)</f>
        <v/>
      </c>
      <c r="H47" s="21" t="str">
        <f aca="false">IF(B47="","",IF(G6=0,"",G47/G6))</f>
        <v/>
      </c>
    </row>
    <row r="48" customFormat="false" ht="15" hidden="false" customHeight="false" outlineLevel="0" collapsed="false">
      <c r="B48" s="22" t="str">
        <f aca="false">IF(23&gt;C19,"",C7*C17+23*(C7*C18-C7*C17)/C19)</f>
        <v/>
      </c>
      <c r="C48" s="22" t="str">
        <f aca="false">IF(B48="","",MAX(B48-C7,0))</f>
        <v/>
      </c>
      <c r="D48" s="22" t="str">
        <f aca="false">IF(B48="","",MAX(C7-B48,0))</f>
        <v/>
      </c>
      <c r="E48" s="22" t="str">
        <f aca="false">IF(B48="","",C48+D48)</f>
        <v/>
      </c>
      <c r="F48" s="22" t="str">
        <f aca="false">IF(B48="","",E48-G5)</f>
        <v/>
      </c>
      <c r="G48" s="23" t="str">
        <f aca="false">IF(B48="","",(F48*C11*C10)-C15)</f>
        <v/>
      </c>
      <c r="H48" s="24" t="str">
        <f aca="false">IF(B48="","",IF(G6=0,"",G48/G6))</f>
        <v/>
      </c>
    </row>
    <row r="49" customFormat="false" ht="15" hidden="false" customHeight="false" outlineLevel="0" collapsed="false">
      <c r="B49" s="19" t="str">
        <f aca="false">IF(24&gt;C19,"",C7*C17+24*(C7*C18-C7*C17)/C19)</f>
        <v/>
      </c>
      <c r="C49" s="19" t="str">
        <f aca="false">IF(B49="","",MAX(B49-C7,0))</f>
        <v/>
      </c>
      <c r="D49" s="19" t="str">
        <f aca="false">IF(B49="","",MAX(C7-B49,0))</f>
        <v/>
      </c>
      <c r="E49" s="19" t="str">
        <f aca="false">IF(B49="","",C49+D49)</f>
        <v/>
      </c>
      <c r="F49" s="19" t="str">
        <f aca="false">IF(B49="","",E49-G5)</f>
        <v/>
      </c>
      <c r="G49" s="20" t="str">
        <f aca="false">IF(B49="","",(F49*C11*C10)-C15)</f>
        <v/>
      </c>
      <c r="H49" s="21" t="str">
        <f aca="false">IF(B49="","",IF(G6=0,"",G49/G6))</f>
        <v/>
      </c>
    </row>
    <row r="50" customFormat="false" ht="15" hidden="false" customHeight="false" outlineLevel="0" collapsed="false">
      <c r="B50" s="22" t="str">
        <f aca="false">IF(25&gt;C19,"",C7*C17+25*(C7*C18-C7*C17)/C19)</f>
        <v/>
      </c>
      <c r="C50" s="22" t="str">
        <f aca="false">IF(B50="","",MAX(B50-C7,0))</f>
        <v/>
      </c>
      <c r="D50" s="22" t="str">
        <f aca="false">IF(B50="","",MAX(C7-B50,0))</f>
        <v/>
      </c>
      <c r="E50" s="22" t="str">
        <f aca="false">IF(B50="","",C50+D50)</f>
        <v/>
      </c>
      <c r="F50" s="22" t="str">
        <f aca="false">IF(B50="","",E50-G5)</f>
        <v/>
      </c>
      <c r="G50" s="23" t="str">
        <f aca="false">IF(B50="","",(F50*C11*C10)-C15)</f>
        <v/>
      </c>
      <c r="H50" s="24" t="str">
        <f aca="false">IF(B50="","",IF(G6=0,"",G50/G6))</f>
        <v/>
      </c>
    </row>
    <row r="51" customFormat="false" ht="15" hidden="false" customHeight="false" outlineLevel="0" collapsed="false">
      <c r="B51" s="19" t="str">
        <f aca="false">IF(26&gt;C19,"",C7*C17+26*(C7*C18-C7*C17)/C19)</f>
        <v/>
      </c>
      <c r="C51" s="19" t="str">
        <f aca="false">IF(B51="","",MAX(B51-C7,0))</f>
        <v/>
      </c>
      <c r="D51" s="19" t="str">
        <f aca="false">IF(B51="","",MAX(C7-B51,0))</f>
        <v/>
      </c>
      <c r="E51" s="19" t="str">
        <f aca="false">IF(B51="","",C51+D51)</f>
        <v/>
      </c>
      <c r="F51" s="19" t="str">
        <f aca="false">IF(B51="","",E51-G5)</f>
        <v/>
      </c>
      <c r="G51" s="20" t="str">
        <f aca="false">IF(B51="","",(F51*C11*C10)-C15)</f>
        <v/>
      </c>
      <c r="H51" s="21" t="str">
        <f aca="false">IF(B51="","",IF(G6=0,"",G51/G6))</f>
        <v/>
      </c>
    </row>
    <row r="52" customFormat="false" ht="15" hidden="false" customHeight="false" outlineLevel="0" collapsed="false">
      <c r="B52" s="22" t="str">
        <f aca="false">IF(27&gt;C19,"",C7*C17+27*(C7*C18-C7*C17)/C19)</f>
        <v/>
      </c>
      <c r="C52" s="22" t="str">
        <f aca="false">IF(B52="","",MAX(B52-C7,0))</f>
        <v/>
      </c>
      <c r="D52" s="22" t="str">
        <f aca="false">IF(B52="","",MAX(C7-B52,0))</f>
        <v/>
      </c>
      <c r="E52" s="22" t="str">
        <f aca="false">IF(B52="","",C52+D52)</f>
        <v/>
      </c>
      <c r="F52" s="22" t="str">
        <f aca="false">IF(B52="","",E52-G5)</f>
        <v/>
      </c>
      <c r="G52" s="23" t="str">
        <f aca="false">IF(B52="","",(F52*C11*C10)-C15)</f>
        <v/>
      </c>
      <c r="H52" s="24" t="str">
        <f aca="false">IF(B52="","",IF(G6=0,"",G52/G6))</f>
        <v/>
      </c>
    </row>
    <row r="53" customFormat="false" ht="15" hidden="false" customHeight="false" outlineLevel="0" collapsed="false">
      <c r="B53" s="19" t="str">
        <f aca="false">IF(28&gt;C19,"",C7*C17+28*(C7*C18-C7*C17)/C19)</f>
        <v/>
      </c>
      <c r="C53" s="19" t="str">
        <f aca="false">IF(B53="","",MAX(B53-C7,0))</f>
        <v/>
      </c>
      <c r="D53" s="19" t="str">
        <f aca="false">IF(B53="","",MAX(C7-B53,0))</f>
        <v/>
      </c>
      <c r="E53" s="19" t="str">
        <f aca="false">IF(B53="","",C53+D53)</f>
        <v/>
      </c>
      <c r="F53" s="19" t="str">
        <f aca="false">IF(B53="","",E53-G5)</f>
        <v/>
      </c>
      <c r="G53" s="20" t="str">
        <f aca="false">IF(B53="","",(F53*C11*C10)-C15)</f>
        <v/>
      </c>
      <c r="H53" s="21" t="str">
        <f aca="false">IF(B53="","",IF(G6=0,"",G53/G6))</f>
        <v/>
      </c>
    </row>
    <row r="54" customFormat="false" ht="15" hidden="false" customHeight="false" outlineLevel="0" collapsed="false">
      <c r="B54" s="22" t="str">
        <f aca="false">IF(29&gt;C19,"",C7*C17+29*(C7*C18-C7*C17)/C19)</f>
        <v/>
      </c>
      <c r="C54" s="22" t="str">
        <f aca="false">IF(B54="","",MAX(B54-C7,0))</f>
        <v/>
      </c>
      <c r="D54" s="22" t="str">
        <f aca="false">IF(B54="","",MAX(C7-B54,0))</f>
        <v/>
      </c>
      <c r="E54" s="22" t="str">
        <f aca="false">IF(B54="","",C54+D54)</f>
        <v/>
      </c>
      <c r="F54" s="22" t="str">
        <f aca="false">IF(B54="","",E54-G5)</f>
        <v/>
      </c>
      <c r="G54" s="23" t="str">
        <f aca="false">IF(B54="","",(F54*C11*C10)-C15)</f>
        <v/>
      </c>
      <c r="H54" s="24" t="str">
        <f aca="false">IF(B54="","",IF(G6=0,"",G54/G6))</f>
        <v/>
      </c>
    </row>
    <row r="55" customFormat="false" ht="15" hidden="false" customHeight="false" outlineLevel="0" collapsed="false">
      <c r="B55" s="19" t="str">
        <f aca="false">IF(30&gt;C19,"",C7*C17+30*(C7*C18-C7*C17)/C19)</f>
        <v/>
      </c>
      <c r="C55" s="19" t="str">
        <f aca="false">IF(B55="","",MAX(B55-C7,0))</f>
        <v/>
      </c>
      <c r="D55" s="19" t="str">
        <f aca="false">IF(B55="","",MAX(C7-B55,0))</f>
        <v/>
      </c>
      <c r="E55" s="19" t="str">
        <f aca="false">IF(B55="","",C55+D55)</f>
        <v/>
      </c>
      <c r="F55" s="19" t="str">
        <f aca="false">IF(B55="","",E55-G5)</f>
        <v/>
      </c>
      <c r="G55" s="20" t="str">
        <f aca="false">IF(B55="","",(F55*C11*C10)-C15)</f>
        <v/>
      </c>
      <c r="H55" s="21" t="str">
        <f aca="false">IF(B55="","",IF(G6=0,"",G55/G6))</f>
        <v/>
      </c>
    </row>
    <row r="56" customFormat="false" ht="15" hidden="false" customHeight="false" outlineLevel="0" collapsed="false">
      <c r="B56" s="22" t="str">
        <f aca="false">IF(31&gt;C19,"",C7*C17+31*(C7*C18-C7*C17)/C19)</f>
        <v/>
      </c>
      <c r="C56" s="22" t="str">
        <f aca="false">IF(B56="","",MAX(B56-C7,0))</f>
        <v/>
      </c>
      <c r="D56" s="22" t="str">
        <f aca="false">IF(B56="","",MAX(C7-B56,0))</f>
        <v/>
      </c>
      <c r="E56" s="22" t="str">
        <f aca="false">IF(B56="","",C56+D56)</f>
        <v/>
      </c>
      <c r="F56" s="22" t="str">
        <f aca="false">IF(B56="","",E56-G5)</f>
        <v/>
      </c>
      <c r="G56" s="23" t="str">
        <f aca="false">IF(B56="","",(F56*C11*C10)-C15)</f>
        <v/>
      </c>
      <c r="H56" s="24" t="str">
        <f aca="false">IF(B56="","",IF(G6=0,"",G56/G6))</f>
        <v/>
      </c>
    </row>
    <row r="57" customFormat="false" ht="15" hidden="false" customHeight="false" outlineLevel="0" collapsed="false">
      <c r="B57" s="19" t="str">
        <f aca="false">IF(32&gt;C19,"",C7*C17+32*(C7*C18-C7*C17)/C19)</f>
        <v/>
      </c>
      <c r="C57" s="19" t="str">
        <f aca="false">IF(B57="","",MAX(B57-C7,0))</f>
        <v/>
      </c>
      <c r="D57" s="19" t="str">
        <f aca="false">IF(B57="","",MAX(C7-B57,0))</f>
        <v/>
      </c>
      <c r="E57" s="19" t="str">
        <f aca="false">IF(B57="","",C57+D57)</f>
        <v/>
      </c>
      <c r="F57" s="19" t="str">
        <f aca="false">IF(B57="","",E57-G5)</f>
        <v/>
      </c>
      <c r="G57" s="20" t="str">
        <f aca="false">IF(B57="","",(F57*C11*C10)-C15)</f>
        <v/>
      </c>
      <c r="H57" s="21" t="str">
        <f aca="false">IF(B57="","",IF(G6=0,"",G57/G6))</f>
        <v/>
      </c>
    </row>
    <row r="58" customFormat="false" ht="15" hidden="false" customHeight="false" outlineLevel="0" collapsed="false">
      <c r="B58" s="22" t="str">
        <f aca="false">IF(33&gt;C19,"",C7*C17+33*(C7*C18-C7*C17)/C19)</f>
        <v/>
      </c>
      <c r="C58" s="22" t="str">
        <f aca="false">IF(B58="","",MAX(B58-C7,0))</f>
        <v/>
      </c>
      <c r="D58" s="22" t="str">
        <f aca="false">IF(B58="","",MAX(C7-B58,0))</f>
        <v/>
      </c>
      <c r="E58" s="22" t="str">
        <f aca="false">IF(B58="","",C58+D58)</f>
        <v/>
      </c>
      <c r="F58" s="22" t="str">
        <f aca="false">IF(B58="","",E58-G5)</f>
        <v/>
      </c>
      <c r="G58" s="23" t="str">
        <f aca="false">IF(B58="","",(F58*C11*C10)-C15)</f>
        <v/>
      </c>
      <c r="H58" s="24" t="str">
        <f aca="false">IF(B58="","",IF(G6=0,"",G58/G6))</f>
        <v/>
      </c>
    </row>
    <row r="59" customFormat="false" ht="15" hidden="false" customHeight="false" outlineLevel="0" collapsed="false">
      <c r="B59" s="19" t="str">
        <f aca="false">IF(34&gt;C19,"",C7*C17+34*(C7*C18-C7*C17)/C19)</f>
        <v/>
      </c>
      <c r="C59" s="19" t="str">
        <f aca="false">IF(B59="","",MAX(B59-C7,0))</f>
        <v/>
      </c>
      <c r="D59" s="19" t="str">
        <f aca="false">IF(B59="","",MAX(C7-B59,0))</f>
        <v/>
      </c>
      <c r="E59" s="19" t="str">
        <f aca="false">IF(B59="","",C59+D59)</f>
        <v/>
      </c>
      <c r="F59" s="19" t="str">
        <f aca="false">IF(B59="","",E59-G5)</f>
        <v/>
      </c>
      <c r="G59" s="20" t="str">
        <f aca="false">IF(B59="","",(F59*C11*C10)-C15)</f>
        <v/>
      </c>
      <c r="H59" s="21" t="str">
        <f aca="false">IF(B59="","",IF(G6=0,"",G59/G6))</f>
        <v/>
      </c>
    </row>
    <row r="60" customFormat="false" ht="15" hidden="false" customHeight="false" outlineLevel="0" collapsed="false">
      <c r="B60" s="22" t="str">
        <f aca="false">IF(35&gt;C19,"",C7*C17+35*(C7*C18-C7*C17)/C19)</f>
        <v/>
      </c>
      <c r="C60" s="22" t="str">
        <f aca="false">IF(B60="","",MAX(B60-C7,0))</f>
        <v/>
      </c>
      <c r="D60" s="22" t="str">
        <f aca="false">IF(B60="","",MAX(C7-B60,0))</f>
        <v/>
      </c>
      <c r="E60" s="22" t="str">
        <f aca="false">IF(B60="","",C60+D60)</f>
        <v/>
      </c>
      <c r="F60" s="22" t="str">
        <f aca="false">IF(B60="","",E60-G5)</f>
        <v/>
      </c>
      <c r="G60" s="23" t="str">
        <f aca="false">IF(B60="","",(F60*C11*C10)-C15)</f>
        <v/>
      </c>
      <c r="H60" s="24" t="str">
        <f aca="false">IF(B60="","",IF(G6=0,"",G60/G6))</f>
        <v/>
      </c>
    </row>
    <row r="61" customFormat="false" ht="15" hidden="false" customHeight="false" outlineLevel="0" collapsed="false">
      <c r="B61" s="19" t="str">
        <f aca="false">IF(36&gt;C19,"",C7*C17+36*(C7*C18-C7*C17)/C19)</f>
        <v/>
      </c>
      <c r="C61" s="19" t="str">
        <f aca="false">IF(B61="","",MAX(B61-C7,0))</f>
        <v/>
      </c>
      <c r="D61" s="19" t="str">
        <f aca="false">IF(B61="","",MAX(C7-B61,0))</f>
        <v/>
      </c>
      <c r="E61" s="19" t="str">
        <f aca="false">IF(B61="","",C61+D61)</f>
        <v/>
      </c>
      <c r="F61" s="19" t="str">
        <f aca="false">IF(B61="","",E61-G5)</f>
        <v/>
      </c>
      <c r="G61" s="20" t="str">
        <f aca="false">IF(B61="","",(F61*C11*C10)-C15)</f>
        <v/>
      </c>
      <c r="H61" s="21" t="str">
        <f aca="false">IF(B61="","",IF(G6=0,"",G61/G6))</f>
        <v/>
      </c>
    </row>
    <row r="62" customFormat="false" ht="15" hidden="false" customHeight="false" outlineLevel="0" collapsed="false">
      <c r="B62" s="22" t="str">
        <f aca="false">IF(37&gt;C19,"",C7*C17+37*(C7*C18-C7*C17)/C19)</f>
        <v/>
      </c>
      <c r="C62" s="22" t="str">
        <f aca="false">IF(B62="","",MAX(B62-C7,0))</f>
        <v/>
      </c>
      <c r="D62" s="22" t="str">
        <f aca="false">IF(B62="","",MAX(C7-B62,0))</f>
        <v/>
      </c>
      <c r="E62" s="22" t="str">
        <f aca="false">IF(B62="","",C62+D62)</f>
        <v/>
      </c>
      <c r="F62" s="22" t="str">
        <f aca="false">IF(B62="","",E62-G5)</f>
        <v/>
      </c>
      <c r="G62" s="23" t="str">
        <f aca="false">IF(B62="","",(F62*C11*C10)-C15)</f>
        <v/>
      </c>
      <c r="H62" s="24" t="str">
        <f aca="false">IF(B62="","",IF(G6=0,"",G62/G6))</f>
        <v/>
      </c>
    </row>
    <row r="63" customFormat="false" ht="15" hidden="false" customHeight="false" outlineLevel="0" collapsed="false">
      <c r="B63" s="19" t="str">
        <f aca="false">IF(38&gt;C19,"",C7*C17+38*(C7*C18-C7*C17)/C19)</f>
        <v/>
      </c>
      <c r="C63" s="19" t="str">
        <f aca="false">IF(B63="","",MAX(B63-C7,0))</f>
        <v/>
      </c>
      <c r="D63" s="19" t="str">
        <f aca="false">IF(B63="","",MAX(C7-B63,0))</f>
        <v/>
      </c>
      <c r="E63" s="19" t="str">
        <f aca="false">IF(B63="","",C63+D63)</f>
        <v/>
      </c>
      <c r="F63" s="19" t="str">
        <f aca="false">IF(B63="","",E63-G5)</f>
        <v/>
      </c>
      <c r="G63" s="20" t="str">
        <f aca="false">IF(B63="","",(F63*C11*C10)-C15)</f>
        <v/>
      </c>
      <c r="H63" s="21" t="str">
        <f aca="false">IF(B63="","",IF(G6=0,"",G63/G6))</f>
        <v/>
      </c>
    </row>
    <row r="64" customFormat="false" ht="15" hidden="false" customHeight="false" outlineLevel="0" collapsed="false">
      <c r="B64" s="22" t="str">
        <f aca="false">IF(39&gt;C19,"",C7*C17+39*(C7*C18-C7*C17)/C19)</f>
        <v/>
      </c>
      <c r="C64" s="22" t="str">
        <f aca="false">IF(B64="","",MAX(B64-C7,0))</f>
        <v/>
      </c>
      <c r="D64" s="22" t="str">
        <f aca="false">IF(B64="","",MAX(C7-B64,0))</f>
        <v/>
      </c>
      <c r="E64" s="22" t="str">
        <f aca="false">IF(B64="","",C64+D64)</f>
        <v/>
      </c>
      <c r="F64" s="22" t="str">
        <f aca="false">IF(B64="","",E64-G5)</f>
        <v/>
      </c>
      <c r="G64" s="23" t="str">
        <f aca="false">IF(B64="","",(F64*C11*C10)-C15)</f>
        <v/>
      </c>
      <c r="H64" s="24" t="str">
        <f aca="false">IF(B64="","",IF(G6=0,"",G64/G6))</f>
        <v/>
      </c>
    </row>
    <row r="65" customFormat="false" ht="15" hidden="false" customHeight="false" outlineLevel="0" collapsed="false">
      <c r="B65" s="19" t="str">
        <f aca="false">IF(40&gt;C19,"",C7*C17+40*(C7*C18-C7*C17)/C19)</f>
        <v/>
      </c>
      <c r="C65" s="19" t="str">
        <f aca="false">IF(B65="","",MAX(B65-C7,0))</f>
        <v/>
      </c>
      <c r="D65" s="19" t="str">
        <f aca="false">IF(B65="","",MAX(C7-B65,0))</f>
        <v/>
      </c>
      <c r="E65" s="19" t="str">
        <f aca="false">IF(B65="","",C65+D65)</f>
        <v/>
      </c>
      <c r="F65" s="19" t="str">
        <f aca="false">IF(B65="","",E65-G5)</f>
        <v/>
      </c>
      <c r="G65" s="20" t="str">
        <f aca="false">IF(B65="","",(F65*C11*C10)-C15)</f>
        <v/>
      </c>
      <c r="H65" s="21" t="str">
        <f aca="false">IF(B65="","",IF(G6=0,"",G65/G6))</f>
        <v/>
      </c>
    </row>
    <row r="67" customFormat="false" ht="15" hidden="false" customHeight="false" outlineLevel="0" collapsed="false">
      <c r="A67" s="3" t="s">
        <v>74</v>
      </c>
      <c r="B67" s="3"/>
      <c r="C67" s="3"/>
      <c r="D67" s="3"/>
      <c r="E67" s="3"/>
      <c r="F67" s="3"/>
      <c r="G67" s="3"/>
      <c r="H67" s="3"/>
    </row>
    <row r="68" customFormat="false" ht="15" hidden="false" customHeight="true" outlineLevel="0" collapsed="false">
      <c r="A68" s="25" t="s">
        <v>75</v>
      </c>
      <c r="B68" s="25"/>
      <c r="C68" s="25"/>
      <c r="D68" s="25"/>
      <c r="E68" s="25"/>
      <c r="F68" s="25"/>
      <c r="G68" s="25"/>
      <c r="H68" s="25"/>
    </row>
    <row r="69" customFormat="false" ht="15" hidden="false" customHeight="true" outlineLevel="0" collapsed="false">
      <c r="A69" s="25" t="s">
        <v>76</v>
      </c>
      <c r="B69" s="25"/>
      <c r="C69" s="25"/>
      <c r="D69" s="25"/>
      <c r="E69" s="25"/>
      <c r="F69" s="25"/>
      <c r="G69" s="25"/>
      <c r="H69" s="25"/>
    </row>
    <row r="70" customFormat="false" ht="15" hidden="false" customHeight="true" outlineLevel="0" collapsed="false">
      <c r="A70" s="25" t="s">
        <v>77</v>
      </c>
      <c r="B70" s="25"/>
      <c r="C70" s="25"/>
      <c r="D70" s="25"/>
      <c r="E70" s="25"/>
      <c r="F70" s="25"/>
      <c r="G70" s="25"/>
      <c r="H70" s="25"/>
    </row>
    <row r="71" customFormat="false" ht="15" hidden="false" customHeight="true" outlineLevel="0" collapsed="false">
      <c r="A71" s="25" t="s">
        <v>78</v>
      </c>
      <c r="B71" s="25"/>
      <c r="C71" s="25"/>
      <c r="D71" s="25"/>
      <c r="E71" s="25"/>
      <c r="F71" s="25"/>
      <c r="G71" s="25"/>
      <c r="H71" s="25"/>
    </row>
    <row r="72" customFormat="false" ht="15" hidden="false" customHeight="true" outlineLevel="0" collapsed="false">
      <c r="A72" s="25" t="s">
        <v>79</v>
      </c>
      <c r="B72" s="25"/>
      <c r="C72" s="25"/>
      <c r="D72" s="25"/>
      <c r="E72" s="25"/>
      <c r="F72" s="25"/>
      <c r="G72" s="25"/>
      <c r="H72" s="25"/>
    </row>
  </sheetData>
  <mergeCells count="12">
    <mergeCell ref="A1:H1"/>
    <mergeCell ref="A2:H2"/>
    <mergeCell ref="B4:D4"/>
    <mergeCell ref="F4:H4"/>
    <mergeCell ref="A22:H22"/>
    <mergeCell ref="A23:H23"/>
    <mergeCell ref="A67:H67"/>
    <mergeCell ref="A68:H68"/>
    <mergeCell ref="A69:H69"/>
    <mergeCell ref="A70:H70"/>
    <mergeCell ref="A71:H71"/>
    <mergeCell ref="A72:H72"/>
  </mergeCells>
  <conditionalFormatting sqref="G15">
    <cfRule type="expression" priority="2" aboveAverage="0" equalAverage="0" bottom="0" percent="0" rank="0" text="" dxfId="0">
      <formula>G15="PROFIT"</formula>
    </cfRule>
    <cfRule type="expression" priority="3" aboveAverage="0" equalAverage="0" bottom="0" percent="0" rank="0" text="" dxfId="1">
      <formula>G15="LOSS"</formula>
    </cfRule>
    <cfRule type="expression" priority="4" aboveAverage="0" equalAverage="0" bottom="0" percent="0" rank="0" text="" dxfId="2">
      <formula>G15="BREAKEVEN"</formula>
    </cfRule>
  </conditionalFormatting>
  <conditionalFormatting sqref="G25:G65">
    <cfRule type="cellIs" priority="5" operator="greaterThan" aboveAverage="0" equalAverage="0" bottom="0" percent="0" rank="0" text="" dxfId="3">
      <formula>0</formula>
    </cfRule>
    <cfRule type="cellIs" priority="6" operator="lessThan" aboveAverage="0" equalAverage="0" bottom="0" percent="0" rank="0" text="" dxfId="4">
      <formula>0</formula>
    </cfRule>
  </conditionalFormatting>
  <dataValidations count="1">
    <dataValidation allowBlank="true" errorStyle="stop" operator="between" showDropDown="false" showErrorMessage="false" showInputMessage="false" sqref="C16" type="list">
      <formula1>"Expected to Rise,Expected to Fall,Expected to Stay Flat"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2026-07-21T03:02:57Z</dcterms:created>
  <dc:creator>openpyxl</dc:creator>
  <dc:description/>
  <dc:language>en-US</dc:language>
  <cp:lastModifiedBy/>
  <dcterms:modified xsi:type="dcterms:W3CDTF">2026-07-21T03:02:59Z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